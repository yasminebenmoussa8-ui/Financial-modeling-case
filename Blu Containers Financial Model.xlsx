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3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mine.benmoussa\Documents\"/>
    </mc:Choice>
  </mc:AlternateContent>
  <xr:revisionPtr revIDLastSave="0" documentId="13_ncr:1_{8D54A7CF-1CCE-42B7-9DE4-C2BB984A6D7C}" xr6:coauthVersionLast="47" xr6:coauthVersionMax="47" xr10:uidLastSave="{00000000-0000-0000-0000-000000000000}"/>
  <bookViews>
    <workbookView xWindow="-108" yWindow="-108" windowWidth="23256" windowHeight="12456" tabRatio="845" firstSheet="1" activeTab="1" xr2:uid="{00000000-000D-0000-FFFF-FFFF00000000}"/>
  </bookViews>
  <sheets>
    <sheet name="Cover" sheetId="22" state="hidden" r:id="rId1"/>
    <sheet name="Summary" sheetId="21" r:id="rId2"/>
    <sheet name="Assumptions" sheetId="2" r:id="rId3"/>
    <sheet name="Scenarios" sheetId="7" r:id="rId4"/>
    <sheet name="Model" sheetId="6" r:id="rId5"/>
    <sheet name="Model (2)" sheetId="24" state="hidden" r:id="rId6"/>
    <sheet name="Sheet1" sheetId="23" state="hidden" r:id="rId7"/>
    <sheet name="Scenarios (2)" sheetId="25" state="hidden" r:id="rId8"/>
  </sheets>
  <definedNames>
    <definedName name="_xlnm.Print_Area" localSheetId="2">Assumptions!$B$1:$O$42,Assumptions!$B$44:$O$75</definedName>
    <definedName name="_xlnm.Print_Area" localSheetId="0">Cover!$A$1:$J$28</definedName>
    <definedName name="_xlnm.Print_Area" localSheetId="4">Model!$B$1:$O$29,Model!$B$31:$O$70,Model!$B$72:$O$111,Model!$B$113:$O$145,Model!$B$147:$O$186,Model!$B$191:$O$218,Model!$B$220:$O$242,Model!$B$244:$O$276,Model!$B$278:$O$327,Model!$B$329:$O$352,Model!$B$354:$O$367</definedName>
    <definedName name="_xlnm.Print_Area" localSheetId="3">Scenarios!$B$1:$K$36</definedName>
    <definedName name="_xlnm.Print_Area" localSheetId="7">'Scenarios (2)'!$B$1:$K$36</definedName>
    <definedName name="_xlnm.Print_Area" localSheetId="1">Summary!$B$1:$Q$66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1" i="21" l="1"/>
  <c r="Z31" i="21"/>
  <c r="AA31" i="21"/>
  <c r="AA32" i="21" s="1"/>
  <c r="AB31" i="21"/>
  <c r="AC31" i="21"/>
  <c r="AC32" i="21" s="1"/>
  <c r="AD31" i="21"/>
  <c r="AD32" i="21" s="1"/>
  <c r="AE31" i="21"/>
  <c r="AE32" i="21" s="1"/>
  <c r="X31" i="21"/>
  <c r="Y28" i="21"/>
  <c r="Z28" i="21"/>
  <c r="X28" i="21"/>
  <c r="Y26" i="21"/>
  <c r="Z26" i="21"/>
  <c r="AA26" i="21"/>
  <c r="AB26" i="21"/>
  <c r="AC26" i="21"/>
  <c r="AD26" i="21"/>
  <c r="AD27" i="21" s="1"/>
  <c r="AE26" i="21"/>
  <c r="AE27" i="21" s="1"/>
  <c r="X26" i="21"/>
  <c r="C26" i="7"/>
  <c r="C27" i="7"/>
  <c r="K30" i="7"/>
  <c r="O19" i="6" s="1"/>
  <c r="J30" i="7"/>
  <c r="N19" i="24" s="1"/>
  <c r="I30" i="7"/>
  <c r="M19" i="24" s="1"/>
  <c r="H30" i="7"/>
  <c r="G30" i="7"/>
  <c r="K19" i="24" s="1"/>
  <c r="K23" i="7"/>
  <c r="O10" i="6" s="1"/>
  <c r="J23" i="7"/>
  <c r="N10" i="6" s="1"/>
  <c r="I23" i="7"/>
  <c r="M10" i="6" s="1"/>
  <c r="H23" i="7"/>
  <c r="L10" i="24" s="1"/>
  <c r="G23" i="7"/>
  <c r="K10" i="24" s="1"/>
  <c r="K12" i="7"/>
  <c r="O11" i="24" s="1"/>
  <c r="O40" i="24" s="1"/>
  <c r="J12" i="7"/>
  <c r="N11" i="6" s="1"/>
  <c r="N40" i="6" s="1"/>
  <c r="I12" i="7"/>
  <c r="H12" i="7"/>
  <c r="L11" i="6" s="1"/>
  <c r="L40" i="6" s="1"/>
  <c r="L88" i="6" s="1"/>
  <c r="K30" i="25"/>
  <c r="J30" i="25"/>
  <c r="I30" i="25"/>
  <c r="H30" i="25"/>
  <c r="G30" i="25"/>
  <c r="K27" i="25"/>
  <c r="J27" i="25"/>
  <c r="I27" i="25"/>
  <c r="H27" i="25"/>
  <c r="A27" i="25"/>
  <c r="G27" i="25" s="1"/>
  <c r="A26" i="25"/>
  <c r="K26" i="25" s="1"/>
  <c r="C25" i="25"/>
  <c r="K23" i="25"/>
  <c r="J23" i="25"/>
  <c r="I23" i="25"/>
  <c r="H23" i="25"/>
  <c r="G23" i="25"/>
  <c r="C16" i="25"/>
  <c r="C34" i="25" s="1"/>
  <c r="C15" i="25"/>
  <c r="C33" i="25" s="1"/>
  <c r="C14" i="25"/>
  <c r="C32" i="25" s="1"/>
  <c r="K12" i="25"/>
  <c r="J12" i="25"/>
  <c r="I12" i="25"/>
  <c r="H12" i="25"/>
  <c r="G12" i="25"/>
  <c r="G6" i="25"/>
  <c r="H6" i="25" s="1"/>
  <c r="I6" i="25" s="1"/>
  <c r="J6" i="25" s="1"/>
  <c r="K6" i="25" s="1"/>
  <c r="B1" i="25"/>
  <c r="G12" i="7"/>
  <c r="K11" i="6" s="1"/>
  <c r="K12" i="6" s="1"/>
  <c r="Y21" i="21"/>
  <c r="Z21" i="21"/>
  <c r="X21" i="21"/>
  <c r="Y16" i="21"/>
  <c r="Z16" i="21"/>
  <c r="X16" i="21"/>
  <c r="Y12" i="21"/>
  <c r="Z12" i="21"/>
  <c r="X12" i="21"/>
  <c r="B13" i="22"/>
  <c r="J366" i="6"/>
  <c r="J363" i="6"/>
  <c r="J362" i="6"/>
  <c r="L164" i="6"/>
  <c r="M164" i="6" s="1"/>
  <c r="N164" i="6" s="1"/>
  <c r="O164" i="6" s="1"/>
  <c r="O131" i="6"/>
  <c r="L131" i="6"/>
  <c r="L299" i="6" s="1"/>
  <c r="K131" i="6"/>
  <c r="K299" i="6" s="1"/>
  <c r="L130" i="6"/>
  <c r="M130" i="6"/>
  <c r="N130" i="6"/>
  <c r="O130" i="6"/>
  <c r="K130" i="6"/>
  <c r="K164" i="6" s="1"/>
  <c r="J351" i="6"/>
  <c r="K348" i="6" s="1"/>
  <c r="K342" i="6"/>
  <c r="L339" i="6"/>
  <c r="L137" i="6" s="1"/>
  <c r="M339" i="6"/>
  <c r="M137" i="6" s="1"/>
  <c r="N339" i="6"/>
  <c r="N137" i="6" s="1"/>
  <c r="O339" i="6"/>
  <c r="O301" i="6" s="1"/>
  <c r="K338" i="6"/>
  <c r="K340" i="6" s="1"/>
  <c r="K339" i="6"/>
  <c r="K137" i="6" s="1"/>
  <c r="J307" i="6"/>
  <c r="K305" i="6" s="1"/>
  <c r="J340" i="6"/>
  <c r="K309" i="6"/>
  <c r="L309" i="6" s="1"/>
  <c r="M309" i="6" s="1"/>
  <c r="N309" i="6" s="1"/>
  <c r="O309" i="6" s="1"/>
  <c r="L301" i="6"/>
  <c r="M301" i="6"/>
  <c r="N301" i="6"/>
  <c r="O299" i="6"/>
  <c r="K317" i="6"/>
  <c r="J320" i="6"/>
  <c r="K316" i="6" s="1"/>
  <c r="K320" i="6" s="1"/>
  <c r="L316" i="6" s="1"/>
  <c r="O314" i="6"/>
  <c r="O317" i="6" s="1"/>
  <c r="K322" i="6"/>
  <c r="L318" i="6"/>
  <c r="L136" i="6" s="1"/>
  <c r="M318" i="6"/>
  <c r="N318" i="6"/>
  <c r="O318" i="6"/>
  <c r="K318" i="6"/>
  <c r="K300" i="6" s="1"/>
  <c r="J319" i="6"/>
  <c r="K315" i="6" s="1"/>
  <c r="K293" i="6"/>
  <c r="J291" i="6"/>
  <c r="K289" i="6" s="1"/>
  <c r="I270" i="6"/>
  <c r="J270" i="6"/>
  <c r="I268" i="6"/>
  <c r="J268" i="6"/>
  <c r="I269" i="6"/>
  <c r="J269" i="6"/>
  <c r="J267" i="6"/>
  <c r="I267" i="6"/>
  <c r="H117" i="23"/>
  <c r="I117" i="23"/>
  <c r="G117" i="23"/>
  <c r="K260" i="6"/>
  <c r="L260" i="6"/>
  <c r="M260" i="6"/>
  <c r="N260" i="6"/>
  <c r="O260" i="6"/>
  <c r="K261" i="6"/>
  <c r="L261" i="6"/>
  <c r="M261" i="6"/>
  <c r="N261" i="6"/>
  <c r="O261" i="6"/>
  <c r="K262" i="6"/>
  <c r="L262" i="6"/>
  <c r="M262" i="6"/>
  <c r="N262" i="6"/>
  <c r="O262" i="6"/>
  <c r="K263" i="6"/>
  <c r="L263" i="6"/>
  <c r="M263" i="6"/>
  <c r="N263" i="6"/>
  <c r="O263" i="6"/>
  <c r="K264" i="6"/>
  <c r="L264" i="6"/>
  <c r="M264" i="6"/>
  <c r="N264" i="6"/>
  <c r="O264" i="6"/>
  <c r="L259" i="6"/>
  <c r="M259" i="6"/>
  <c r="N259" i="6"/>
  <c r="O259" i="6"/>
  <c r="K259" i="6"/>
  <c r="J272" i="6"/>
  <c r="I272" i="6"/>
  <c r="J271" i="6"/>
  <c r="I271" i="6"/>
  <c r="J256" i="6"/>
  <c r="I256" i="6"/>
  <c r="L231" i="6"/>
  <c r="M231" i="6"/>
  <c r="N231" i="6"/>
  <c r="O231" i="6"/>
  <c r="K231" i="6"/>
  <c r="G113" i="23"/>
  <c r="G109" i="23"/>
  <c r="G108" i="23"/>
  <c r="G105" i="23"/>
  <c r="G102" i="23"/>
  <c r="G103" i="23"/>
  <c r="G101" i="23"/>
  <c r="I97" i="23"/>
  <c r="I96" i="23"/>
  <c r="E226" i="6"/>
  <c r="D237" i="6" s="1"/>
  <c r="J216" i="6"/>
  <c r="K202" i="6" s="1"/>
  <c r="O209" i="24"/>
  <c r="N208" i="24"/>
  <c r="O208" i="24"/>
  <c r="M207" i="24"/>
  <c r="N207" i="24"/>
  <c r="O207" i="24"/>
  <c r="L206" i="24"/>
  <c r="M206" i="24"/>
  <c r="N206" i="24"/>
  <c r="O206" i="24"/>
  <c r="K205" i="24"/>
  <c r="L205" i="24" s="1"/>
  <c r="L332" i="24"/>
  <c r="M332" i="24" s="1"/>
  <c r="N332" i="24" s="1"/>
  <c r="O332" i="24" s="1"/>
  <c r="O325" i="24"/>
  <c r="N325" i="24"/>
  <c r="M325" i="24"/>
  <c r="L325" i="24"/>
  <c r="K325" i="24"/>
  <c r="J325" i="24"/>
  <c r="B320" i="24"/>
  <c r="J278" i="24"/>
  <c r="B273" i="24"/>
  <c r="O244" i="24"/>
  <c r="N244" i="24"/>
  <c r="M244" i="24"/>
  <c r="L244" i="24"/>
  <c r="D231" i="24"/>
  <c r="D228" i="24"/>
  <c r="O220" i="24"/>
  <c r="N220" i="24"/>
  <c r="M220" i="24"/>
  <c r="L220" i="24"/>
  <c r="H206" i="24"/>
  <c r="F199" i="24"/>
  <c r="K202" i="24" s="1"/>
  <c r="L202" i="24" s="1"/>
  <c r="M202" i="24" s="1"/>
  <c r="O197" i="24"/>
  <c r="N197" i="24"/>
  <c r="M197" i="24"/>
  <c r="L197" i="24"/>
  <c r="O188" i="24"/>
  <c r="N188" i="24"/>
  <c r="M188" i="24"/>
  <c r="L188" i="24"/>
  <c r="K188" i="24"/>
  <c r="J186" i="24"/>
  <c r="J188" i="24" s="1"/>
  <c r="J184" i="24"/>
  <c r="I184" i="24"/>
  <c r="H184" i="24"/>
  <c r="J178" i="24"/>
  <c r="J180" i="24" s="1"/>
  <c r="I178" i="24"/>
  <c r="I180" i="24" s="1"/>
  <c r="H178" i="24"/>
  <c r="H180" i="24" s="1"/>
  <c r="J174" i="24"/>
  <c r="I174" i="24"/>
  <c r="H174" i="24"/>
  <c r="J165" i="24"/>
  <c r="I165" i="24"/>
  <c r="H165" i="24"/>
  <c r="J161" i="24"/>
  <c r="J167" i="24" s="1"/>
  <c r="I161" i="24"/>
  <c r="I167" i="24" s="1"/>
  <c r="H161" i="24"/>
  <c r="H167" i="24" s="1"/>
  <c r="O153" i="24"/>
  <c r="I153" i="24"/>
  <c r="H153" i="24"/>
  <c r="B148" i="24"/>
  <c r="J139" i="24"/>
  <c r="I139" i="24"/>
  <c r="H139" i="24"/>
  <c r="J131" i="24"/>
  <c r="I131" i="24"/>
  <c r="H131" i="24"/>
  <c r="O129" i="24"/>
  <c r="N129" i="24"/>
  <c r="M129" i="24"/>
  <c r="L129" i="24"/>
  <c r="K129" i="24"/>
  <c r="J125" i="24"/>
  <c r="I125" i="24"/>
  <c r="H125" i="24"/>
  <c r="O119" i="24"/>
  <c r="N119" i="24"/>
  <c r="M119" i="24"/>
  <c r="L119" i="24"/>
  <c r="K119" i="24"/>
  <c r="J102" i="24"/>
  <c r="I102" i="24"/>
  <c r="H102" i="24"/>
  <c r="I95" i="24"/>
  <c r="I98" i="24" s="1"/>
  <c r="I104" i="24" s="1"/>
  <c r="H92" i="24"/>
  <c r="H95" i="24" s="1"/>
  <c r="O91" i="24"/>
  <c r="N91" i="24"/>
  <c r="M91" i="24"/>
  <c r="L91" i="24"/>
  <c r="K91" i="24"/>
  <c r="J89" i="24"/>
  <c r="J92" i="24" s="1"/>
  <c r="I89" i="24"/>
  <c r="I92" i="24" s="1"/>
  <c r="I108" i="24" s="1"/>
  <c r="H89" i="24"/>
  <c r="K88" i="24"/>
  <c r="J85" i="24"/>
  <c r="I85" i="24"/>
  <c r="H85" i="24"/>
  <c r="O78" i="24"/>
  <c r="N78" i="24"/>
  <c r="M78" i="24"/>
  <c r="L78" i="24"/>
  <c r="K66" i="24"/>
  <c r="D66" i="24"/>
  <c r="K65" i="24"/>
  <c r="K64" i="24"/>
  <c r="D59" i="24"/>
  <c r="D50" i="24"/>
  <c r="D65" i="24" s="1"/>
  <c r="D49" i="24"/>
  <c r="D64" i="24" s="1"/>
  <c r="K45" i="24"/>
  <c r="D45" i="24"/>
  <c r="D60" i="24" s="1"/>
  <c r="K44" i="24"/>
  <c r="D44" i="24"/>
  <c r="O37" i="24"/>
  <c r="N37" i="24"/>
  <c r="M37" i="24"/>
  <c r="L37" i="24"/>
  <c r="J28" i="24"/>
  <c r="J27" i="24"/>
  <c r="J26" i="24"/>
  <c r="J20" i="24"/>
  <c r="K17" i="24"/>
  <c r="L17" i="24" s="1"/>
  <c r="M17" i="24" s="1"/>
  <c r="N17" i="24" s="1"/>
  <c r="O17" i="24" s="1"/>
  <c r="J13" i="24"/>
  <c r="L11" i="24"/>
  <c r="L40" i="24" s="1"/>
  <c r="O7" i="24"/>
  <c r="O278" i="24" s="1"/>
  <c r="N7" i="24"/>
  <c r="N153" i="24" s="1"/>
  <c r="M7" i="24"/>
  <c r="M278" i="24" s="1"/>
  <c r="L7" i="24"/>
  <c r="L153" i="24" s="1"/>
  <c r="K7" i="24"/>
  <c r="K37" i="24" s="1"/>
  <c r="J7" i="24"/>
  <c r="I7" i="24"/>
  <c r="I37" i="24" s="1"/>
  <c r="H7" i="24"/>
  <c r="B2" i="24"/>
  <c r="O1" i="24"/>
  <c r="O147" i="24" s="1"/>
  <c r="F200" i="6"/>
  <c r="H209" i="6"/>
  <c r="L129" i="6"/>
  <c r="L203" i="6" s="1"/>
  <c r="M129" i="6"/>
  <c r="M203" i="6" s="1"/>
  <c r="N129" i="6"/>
  <c r="N203" i="6" s="1"/>
  <c r="O129" i="6"/>
  <c r="O203" i="6" s="1"/>
  <c r="K129" i="6"/>
  <c r="K203" i="6" s="1"/>
  <c r="F199" i="6"/>
  <c r="K205" i="6" s="1"/>
  <c r="L205" i="6" s="1"/>
  <c r="M205" i="6" s="1"/>
  <c r="N205" i="6" s="1"/>
  <c r="O205" i="6" s="1"/>
  <c r="L91" i="6"/>
  <c r="M91" i="6"/>
  <c r="N91" i="6"/>
  <c r="O91" i="6"/>
  <c r="K91" i="6"/>
  <c r="K88" i="6"/>
  <c r="H87" i="23"/>
  <c r="H90" i="23"/>
  <c r="H89" i="23" s="1"/>
  <c r="H83" i="23"/>
  <c r="H84" i="23" s="1"/>
  <c r="G89" i="23"/>
  <c r="H55" i="23"/>
  <c r="H57" i="23" s="1"/>
  <c r="G55" i="23"/>
  <c r="G57" i="23" s="1"/>
  <c r="H51" i="23"/>
  <c r="H26" i="23"/>
  <c r="H27" i="23" s="1"/>
  <c r="G37" i="23"/>
  <c r="G31" i="23"/>
  <c r="G38" i="23" s="1"/>
  <c r="G26" i="23"/>
  <c r="G45" i="23"/>
  <c r="K66" i="6"/>
  <c r="K65" i="6"/>
  <c r="K64" i="6"/>
  <c r="K45" i="6"/>
  <c r="K44" i="6"/>
  <c r="K17" i="6"/>
  <c r="L17" i="6" s="1"/>
  <c r="M17" i="6" s="1"/>
  <c r="N17" i="6" s="1"/>
  <c r="O17" i="6" s="1"/>
  <c r="O1" i="6"/>
  <c r="O191" i="6" s="1"/>
  <c r="M11" i="24"/>
  <c r="M40" i="24" s="1"/>
  <c r="L342" i="6"/>
  <c r="M342" i="6" s="1"/>
  <c r="N342" i="6" s="1"/>
  <c r="O342" i="6" s="1"/>
  <c r="J184" i="6"/>
  <c r="I184" i="6"/>
  <c r="H184" i="6"/>
  <c r="J178" i="6"/>
  <c r="I178" i="6"/>
  <c r="H178" i="6"/>
  <c r="J174" i="6"/>
  <c r="I174" i="6"/>
  <c r="H174" i="6"/>
  <c r="J165" i="6"/>
  <c r="I165" i="6"/>
  <c r="H165" i="6"/>
  <c r="J161" i="6"/>
  <c r="I161" i="6"/>
  <c r="H161" i="6"/>
  <c r="J139" i="6"/>
  <c r="I139" i="6"/>
  <c r="H139" i="6"/>
  <c r="J131" i="6"/>
  <c r="J142" i="6" s="1"/>
  <c r="I131" i="6"/>
  <c r="H131" i="6"/>
  <c r="J125" i="6"/>
  <c r="I125" i="6"/>
  <c r="H125" i="6"/>
  <c r="J102" i="6"/>
  <c r="I102" i="6"/>
  <c r="H102" i="6"/>
  <c r="J89" i="6"/>
  <c r="I89" i="6"/>
  <c r="H89" i="6"/>
  <c r="J85" i="6"/>
  <c r="J255" i="6" s="1"/>
  <c r="I85" i="6"/>
  <c r="I255" i="6" s="1"/>
  <c r="H85" i="6"/>
  <c r="D66" i="6"/>
  <c r="D50" i="6"/>
  <c r="D65" i="6" s="1"/>
  <c r="D49" i="6"/>
  <c r="D64" i="6" s="1"/>
  <c r="D45" i="6"/>
  <c r="D60" i="6" s="1"/>
  <c r="D44" i="6"/>
  <c r="D59" i="6" s="1"/>
  <c r="J27" i="6"/>
  <c r="J26" i="6"/>
  <c r="J13" i="6"/>
  <c r="O7" i="6"/>
  <c r="O226" i="6" s="1"/>
  <c r="N7" i="6"/>
  <c r="N226" i="6" s="1"/>
  <c r="M7" i="6"/>
  <c r="M197" i="6" s="1"/>
  <c r="L7" i="6"/>
  <c r="L119" i="6" s="1"/>
  <c r="K7" i="6"/>
  <c r="K284" i="6" s="1"/>
  <c r="J7" i="6"/>
  <c r="J284" i="6" s="1"/>
  <c r="B2" i="6"/>
  <c r="B330" i="6" s="1"/>
  <c r="C34" i="7"/>
  <c r="C33" i="7"/>
  <c r="C32" i="7"/>
  <c r="L19" i="6"/>
  <c r="K27" i="7"/>
  <c r="J27" i="7"/>
  <c r="I27" i="7"/>
  <c r="H27" i="7"/>
  <c r="G27" i="7"/>
  <c r="A27" i="7"/>
  <c r="K26" i="7"/>
  <c r="J26" i="7"/>
  <c r="I26" i="7"/>
  <c r="H26" i="7"/>
  <c r="G26" i="7"/>
  <c r="A26" i="7"/>
  <c r="C25" i="7"/>
  <c r="C16" i="7"/>
  <c r="C15" i="7"/>
  <c r="C14" i="7"/>
  <c r="K6" i="7"/>
  <c r="J6" i="7"/>
  <c r="I6" i="7"/>
  <c r="H6" i="7"/>
  <c r="G6" i="7"/>
  <c r="B1" i="7"/>
  <c r="N48" i="2"/>
  <c r="M48" i="2"/>
  <c r="L48" i="2"/>
  <c r="K48" i="2"/>
  <c r="J48" i="2"/>
  <c r="E26" i="2"/>
  <c r="E17" i="2"/>
  <c r="J9" i="2"/>
  <c r="J8" i="2"/>
  <c r="B1" i="2"/>
  <c r="T5" i="21"/>
  <c r="B1" i="21"/>
  <c r="B44" i="2" s="1"/>
  <c r="AA27" i="21" l="1"/>
  <c r="AC27" i="21"/>
  <c r="Z23" i="21"/>
  <c r="AB27" i="21"/>
  <c r="AB32" i="21"/>
  <c r="X22" i="21"/>
  <c r="Z27" i="21"/>
  <c r="Y32" i="21"/>
  <c r="Y13" i="21"/>
  <c r="Z29" i="21"/>
  <c r="Y29" i="21"/>
  <c r="Y27" i="21"/>
  <c r="Y18" i="21"/>
  <c r="Z13" i="21"/>
  <c r="Z32" i="21"/>
  <c r="Y23" i="21"/>
  <c r="X17" i="21"/>
  <c r="Z18" i="21"/>
  <c r="O19" i="24"/>
  <c r="N19" i="6"/>
  <c r="Z22" i="21"/>
  <c r="Y22" i="21"/>
  <c r="Z17" i="21"/>
  <c r="Y17" i="21"/>
  <c r="M10" i="24"/>
  <c r="N10" i="24"/>
  <c r="O10" i="24"/>
  <c r="K19" i="6"/>
  <c r="M19" i="6"/>
  <c r="L19" i="24"/>
  <c r="K10" i="6"/>
  <c r="K13" i="6" s="1"/>
  <c r="L10" i="6"/>
  <c r="H26" i="25"/>
  <c r="I26" i="25"/>
  <c r="J26" i="25"/>
  <c r="G26" i="25"/>
  <c r="M11" i="6"/>
  <c r="M40" i="6" s="1"/>
  <c r="M88" i="6" s="1"/>
  <c r="N88" i="6" s="1"/>
  <c r="O272" i="24"/>
  <c r="K11" i="24"/>
  <c r="K12" i="24" s="1"/>
  <c r="O319" i="24"/>
  <c r="N11" i="24"/>
  <c r="N40" i="24" s="1"/>
  <c r="O354" i="6"/>
  <c r="O11" i="6"/>
  <c r="O40" i="6" s="1"/>
  <c r="L338" i="6"/>
  <c r="L340" i="6" s="1"/>
  <c r="K182" i="6"/>
  <c r="O300" i="6"/>
  <c r="O136" i="6"/>
  <c r="M131" i="6"/>
  <c r="M299" i="6" s="1"/>
  <c r="N300" i="6"/>
  <c r="N136" i="6"/>
  <c r="N131" i="6"/>
  <c r="N299" i="6" s="1"/>
  <c r="M300" i="6"/>
  <c r="M136" i="6"/>
  <c r="L300" i="6"/>
  <c r="K136" i="6"/>
  <c r="K301" i="6"/>
  <c r="J360" i="6"/>
  <c r="K360" i="6"/>
  <c r="L320" i="6"/>
  <c r="M316" i="6" s="1"/>
  <c r="M320" i="6" s="1"/>
  <c r="N316" i="6" s="1"/>
  <c r="L360" i="6"/>
  <c r="M360" i="6"/>
  <c r="O137" i="6"/>
  <c r="N360" i="6"/>
  <c r="O360" i="6"/>
  <c r="B355" i="6"/>
  <c r="K310" i="6"/>
  <c r="N317" i="6"/>
  <c r="M317" i="6"/>
  <c r="L317" i="6"/>
  <c r="K294" i="6"/>
  <c r="K319" i="6"/>
  <c r="I273" i="6"/>
  <c r="J273" i="6"/>
  <c r="K323" i="6"/>
  <c r="L322" i="6"/>
  <c r="L293" i="6"/>
  <c r="D234" i="6"/>
  <c r="O31" i="6"/>
  <c r="Z7" i="21"/>
  <c r="J7" i="21" s="1"/>
  <c r="J28" i="21" s="1"/>
  <c r="J49" i="21" s="1"/>
  <c r="J69" i="21" s="1"/>
  <c r="AA7" i="21"/>
  <c r="K7" i="21" s="1"/>
  <c r="K28" i="21" s="1"/>
  <c r="K49" i="21" s="1"/>
  <c r="K69" i="21" s="1"/>
  <c r="J92" i="6"/>
  <c r="J108" i="6" s="1"/>
  <c r="B32" i="6"/>
  <c r="H167" i="6"/>
  <c r="K226" i="6"/>
  <c r="H92" i="6"/>
  <c r="H95" i="6" s="1"/>
  <c r="L226" i="6"/>
  <c r="I92" i="6"/>
  <c r="I108" i="6" s="1"/>
  <c r="I180" i="6"/>
  <c r="I186" i="6" s="1"/>
  <c r="M226" i="6"/>
  <c r="J28" i="6"/>
  <c r="J180" i="6"/>
  <c r="J186" i="6" s="1"/>
  <c r="J20" i="6"/>
  <c r="B114" i="6"/>
  <c r="H180" i="6"/>
  <c r="H186" i="6" s="1"/>
  <c r="B245" i="6"/>
  <c r="J119" i="6"/>
  <c r="B148" i="6"/>
  <c r="B279" i="6"/>
  <c r="B73" i="6"/>
  <c r="K119" i="6"/>
  <c r="B192" i="6"/>
  <c r="B221" i="6"/>
  <c r="J37" i="6"/>
  <c r="J250" i="6"/>
  <c r="I7" i="6"/>
  <c r="J78" i="6"/>
  <c r="J153" i="6"/>
  <c r="J335" i="6"/>
  <c r="K37" i="6"/>
  <c r="K153" i="6"/>
  <c r="K78" i="6"/>
  <c r="K250" i="6"/>
  <c r="K335" i="6"/>
  <c r="L37" i="6"/>
  <c r="L153" i="6"/>
  <c r="L284" i="6"/>
  <c r="L78" i="6"/>
  <c r="L250" i="6"/>
  <c r="AB7" i="21"/>
  <c r="L7" i="21" s="1"/>
  <c r="L28" i="21" s="1"/>
  <c r="L49" i="21" s="1"/>
  <c r="L69" i="21" s="1"/>
  <c r="L335" i="6"/>
  <c r="L44" i="6"/>
  <c r="K46" i="6"/>
  <c r="M153" i="6"/>
  <c r="M284" i="6"/>
  <c r="M37" i="6"/>
  <c r="M119" i="6"/>
  <c r="M250" i="6"/>
  <c r="AC7" i="21"/>
  <c r="M7" i="21" s="1"/>
  <c r="M28" i="21" s="1"/>
  <c r="M49" i="21" s="1"/>
  <c r="M69" i="21" s="1"/>
  <c r="M335" i="6"/>
  <c r="N153" i="6"/>
  <c r="N284" i="6"/>
  <c r="N119" i="6"/>
  <c r="AD7" i="21"/>
  <c r="N7" i="21" s="1"/>
  <c r="N28" i="21" s="1"/>
  <c r="N49" i="21" s="1"/>
  <c r="N69" i="21" s="1"/>
  <c r="N250" i="6"/>
  <c r="N335" i="6"/>
  <c r="N197" i="6"/>
  <c r="O284" i="6"/>
  <c r="O119" i="6"/>
  <c r="AE7" i="21"/>
  <c r="O7" i="21" s="1"/>
  <c r="O28" i="21" s="1"/>
  <c r="O49" i="21" s="1"/>
  <c r="O69" i="21" s="1"/>
  <c r="O78" i="6"/>
  <c r="O37" i="6"/>
  <c r="O335" i="6"/>
  <c r="O153" i="6"/>
  <c r="O197" i="6"/>
  <c r="M78" i="6"/>
  <c r="N78" i="6"/>
  <c r="J167" i="6"/>
  <c r="J197" i="6"/>
  <c r="L12" i="6"/>
  <c r="K197" i="6"/>
  <c r="O250" i="6"/>
  <c r="L197" i="6"/>
  <c r="N37" i="6"/>
  <c r="K67" i="6"/>
  <c r="L64" i="6"/>
  <c r="L45" i="6"/>
  <c r="L65" i="6"/>
  <c r="L66" i="6"/>
  <c r="H142" i="6"/>
  <c r="H144" i="6" s="1"/>
  <c r="I143" i="6" s="1"/>
  <c r="I142" i="6"/>
  <c r="I167" i="6"/>
  <c r="M205" i="24"/>
  <c r="N205" i="24" s="1"/>
  <c r="O205" i="24" s="1"/>
  <c r="H109" i="24"/>
  <c r="H98" i="24"/>
  <c r="H104" i="24" s="1"/>
  <c r="I109" i="24"/>
  <c r="J108" i="24"/>
  <c r="J95" i="24"/>
  <c r="J39" i="24"/>
  <c r="K20" i="24"/>
  <c r="J80" i="24"/>
  <c r="K46" i="24"/>
  <c r="L45" i="24"/>
  <c r="O31" i="24"/>
  <c r="O214" i="24"/>
  <c r="O191" i="24"/>
  <c r="O113" i="24"/>
  <c r="O238" i="24"/>
  <c r="B239" i="24"/>
  <c r="B215" i="24"/>
  <c r="B192" i="24"/>
  <c r="B114" i="24"/>
  <c r="H197" i="24"/>
  <c r="H119" i="24"/>
  <c r="H244" i="24"/>
  <c r="I78" i="24"/>
  <c r="L88" i="24"/>
  <c r="M88" i="24" s="1"/>
  <c r="N88" i="24" s="1"/>
  <c r="O88" i="24" s="1"/>
  <c r="H142" i="24"/>
  <c r="H144" i="24" s="1"/>
  <c r="I143" i="24" s="1"/>
  <c r="J119" i="24"/>
  <c r="J153" i="24"/>
  <c r="J244" i="24"/>
  <c r="L66" i="24"/>
  <c r="H108" i="24"/>
  <c r="I142" i="24"/>
  <c r="I186" i="24"/>
  <c r="I188" i="24" s="1"/>
  <c r="J197" i="24"/>
  <c r="L65" i="24"/>
  <c r="O72" i="24"/>
  <c r="B73" i="24"/>
  <c r="B32" i="24"/>
  <c r="H78" i="24"/>
  <c r="N202" i="24"/>
  <c r="I244" i="24"/>
  <c r="I119" i="24"/>
  <c r="H37" i="24"/>
  <c r="J78" i="24"/>
  <c r="K244" i="24"/>
  <c r="K220" i="24"/>
  <c r="K153" i="24"/>
  <c r="K278" i="24"/>
  <c r="J37" i="24"/>
  <c r="K78" i="24"/>
  <c r="J142" i="24"/>
  <c r="H186" i="24"/>
  <c r="H188" i="24" s="1"/>
  <c r="I197" i="24"/>
  <c r="L44" i="24"/>
  <c r="L64" i="24"/>
  <c r="K67" i="24"/>
  <c r="K197" i="24"/>
  <c r="L278" i="24"/>
  <c r="M153" i="24"/>
  <c r="N278" i="24"/>
  <c r="H38" i="23"/>
  <c r="H34" i="23" s="1"/>
  <c r="G34" i="23"/>
  <c r="G39" i="23"/>
  <c r="G33" i="23"/>
  <c r="O278" i="6"/>
  <c r="O113" i="6"/>
  <c r="O147" i="6"/>
  <c r="O329" i="6"/>
  <c r="O220" i="6"/>
  <c r="O244" i="6"/>
  <c r="O72" i="6"/>
  <c r="K20" i="6" l="1"/>
  <c r="K22" i="6" s="1"/>
  <c r="L13" i="6"/>
  <c r="O88" i="6"/>
  <c r="L12" i="24"/>
  <c r="K13" i="24"/>
  <c r="K326" i="6"/>
  <c r="K97" i="6" s="1"/>
  <c r="K177" i="6"/>
  <c r="N320" i="6"/>
  <c r="O316" i="6" s="1"/>
  <c r="O320" i="6" s="1"/>
  <c r="H188" i="6"/>
  <c r="J95" i="6"/>
  <c r="M338" i="6"/>
  <c r="M340" i="6" s="1"/>
  <c r="L182" i="6"/>
  <c r="L315" i="6"/>
  <c r="L319" i="6" s="1"/>
  <c r="J275" i="6"/>
  <c r="M293" i="6"/>
  <c r="K252" i="6"/>
  <c r="N252" i="6"/>
  <c r="M322" i="6"/>
  <c r="L252" i="6"/>
  <c r="O252" i="6"/>
  <c r="M252" i="6"/>
  <c r="J80" i="6"/>
  <c r="J39" i="6"/>
  <c r="K39" i="6"/>
  <c r="K49" i="6" s="1"/>
  <c r="I95" i="6"/>
  <c r="I109" i="6" s="1"/>
  <c r="J188" i="6"/>
  <c r="H108" i="6"/>
  <c r="K26" i="6"/>
  <c r="L20" i="6"/>
  <c r="L39" i="6" s="1"/>
  <c r="L22" i="6"/>
  <c r="L26" i="6"/>
  <c r="H109" i="6"/>
  <c r="H98" i="6"/>
  <c r="H104" i="6" s="1"/>
  <c r="M65" i="6"/>
  <c r="M45" i="6"/>
  <c r="L67" i="6"/>
  <c r="M64" i="6"/>
  <c r="M12" i="6"/>
  <c r="I144" i="6"/>
  <c r="J143" i="6" s="1"/>
  <c r="J144" i="6" s="1"/>
  <c r="K143" i="6" s="1"/>
  <c r="M66" i="6"/>
  <c r="D208" i="6"/>
  <c r="M44" i="6"/>
  <c r="L46" i="6"/>
  <c r="J109" i="6"/>
  <c r="J98" i="6"/>
  <c r="J104" i="6" s="1"/>
  <c r="J110" i="6" s="1"/>
  <c r="I188" i="6"/>
  <c r="I197" i="6"/>
  <c r="H7" i="6"/>
  <c r="I250" i="6"/>
  <c r="I78" i="6"/>
  <c r="I153" i="6"/>
  <c r="Y7" i="21"/>
  <c r="I7" i="21" s="1"/>
  <c r="I28" i="21" s="1"/>
  <c r="I49" i="21" s="1"/>
  <c r="I69" i="21" s="1"/>
  <c r="I37" i="6"/>
  <c r="I119" i="6"/>
  <c r="K39" i="24"/>
  <c r="L20" i="24"/>
  <c r="K26" i="24"/>
  <c r="K22" i="24"/>
  <c r="D205" i="24"/>
  <c r="M66" i="24"/>
  <c r="M45" i="24"/>
  <c r="M64" i="24"/>
  <c r="L67" i="24"/>
  <c r="K27" i="24"/>
  <c r="K84" i="24" s="1"/>
  <c r="M65" i="24"/>
  <c r="J98" i="24"/>
  <c r="J104" i="24" s="1"/>
  <c r="J110" i="24" s="1"/>
  <c r="J109" i="24"/>
  <c r="M44" i="24"/>
  <c r="L46" i="24"/>
  <c r="I144" i="24"/>
  <c r="J143" i="24" s="1"/>
  <c r="J144" i="24" s="1"/>
  <c r="O202" i="24"/>
  <c r="H33" i="23"/>
  <c r="G35" i="23"/>
  <c r="K27" i="6" l="1"/>
  <c r="K84" i="6" s="1"/>
  <c r="M20" i="6"/>
  <c r="M39" i="6" s="1"/>
  <c r="M60" i="6" s="1"/>
  <c r="K60" i="6"/>
  <c r="M12" i="24"/>
  <c r="L13" i="24"/>
  <c r="L177" i="6"/>
  <c r="N338" i="6"/>
  <c r="N340" i="6" s="1"/>
  <c r="M182" i="6"/>
  <c r="M315" i="6"/>
  <c r="L323" i="6"/>
  <c r="N322" i="6"/>
  <c r="N293" i="6"/>
  <c r="I98" i="6"/>
  <c r="I104" i="6" s="1"/>
  <c r="J252" i="6"/>
  <c r="L27" i="6"/>
  <c r="L84" i="6" s="1"/>
  <c r="K50" i="6"/>
  <c r="K51" i="6"/>
  <c r="L50" i="6"/>
  <c r="L49" i="6"/>
  <c r="K83" i="6"/>
  <c r="K59" i="6"/>
  <c r="L51" i="6"/>
  <c r="E208" i="6"/>
  <c r="D209" i="6"/>
  <c r="H197" i="6"/>
  <c r="H250" i="6"/>
  <c r="I252" i="6" s="1"/>
  <c r="H119" i="6"/>
  <c r="H78" i="6"/>
  <c r="X7" i="21"/>
  <c r="H7" i="21" s="1"/>
  <c r="H28" i="21" s="1"/>
  <c r="H49" i="21" s="1"/>
  <c r="H69" i="21" s="1"/>
  <c r="H153" i="6"/>
  <c r="H37" i="6"/>
  <c r="N12" i="6"/>
  <c r="M13" i="6"/>
  <c r="M67" i="6"/>
  <c r="N64" i="6"/>
  <c r="L60" i="6"/>
  <c r="L83" i="6"/>
  <c r="L59" i="6"/>
  <c r="N45" i="6"/>
  <c r="N65" i="6"/>
  <c r="N44" i="6"/>
  <c r="M59" i="6"/>
  <c r="M46" i="6"/>
  <c r="M51" i="6"/>
  <c r="N66" i="6"/>
  <c r="M67" i="24"/>
  <c r="N64" i="24"/>
  <c r="N45" i="24"/>
  <c r="N44" i="24"/>
  <c r="M46" i="24"/>
  <c r="N66" i="24"/>
  <c r="D206" i="24"/>
  <c r="E205" i="24"/>
  <c r="N65" i="24"/>
  <c r="K83" i="24"/>
  <c r="K28" i="24"/>
  <c r="K85" i="24" s="1"/>
  <c r="L39" i="24"/>
  <c r="M20" i="24"/>
  <c r="L22" i="24"/>
  <c r="L27" i="24"/>
  <c r="L84" i="24" s="1"/>
  <c r="L26" i="24"/>
  <c r="K49" i="24"/>
  <c r="K51" i="24"/>
  <c r="K59" i="24"/>
  <c r="K60" i="24"/>
  <c r="K50" i="24"/>
  <c r="H37" i="23"/>
  <c r="H39" i="23" s="1"/>
  <c r="H41" i="23" s="1"/>
  <c r="H42" i="23" s="1"/>
  <c r="H35" i="23"/>
  <c r="K28" i="6" l="1"/>
  <c r="K85" i="6" s="1"/>
  <c r="M49" i="6"/>
  <c r="M26" i="6"/>
  <c r="M22" i="6"/>
  <c r="N20" i="6"/>
  <c r="N39" i="6" s="1"/>
  <c r="N49" i="6" s="1"/>
  <c r="M27" i="6"/>
  <c r="M84" i="6" s="1"/>
  <c r="M50" i="6"/>
  <c r="M52" i="6" s="1"/>
  <c r="M54" i="6" s="1"/>
  <c r="K61" i="6"/>
  <c r="K69" i="6" s="1"/>
  <c r="K87" i="6" s="1"/>
  <c r="N12" i="24"/>
  <c r="M13" i="24"/>
  <c r="AA12" i="21"/>
  <c r="AA13" i="21" s="1"/>
  <c r="O338" i="6"/>
  <c r="O340" i="6" s="1"/>
  <c r="O182" i="6" s="1"/>
  <c r="N182" i="6"/>
  <c r="L52" i="6"/>
  <c r="L54" i="6" s="1"/>
  <c r="M319" i="6"/>
  <c r="M323" i="6"/>
  <c r="L28" i="6"/>
  <c r="L85" i="6" s="1"/>
  <c r="N315" i="6"/>
  <c r="O293" i="6"/>
  <c r="N323" i="6"/>
  <c r="O322" i="6"/>
  <c r="I261" i="6"/>
  <c r="I263" i="6"/>
  <c r="I259" i="6"/>
  <c r="I264" i="6"/>
  <c r="I260" i="6"/>
  <c r="I262" i="6"/>
  <c r="J262" i="6"/>
  <c r="J259" i="6"/>
  <c r="J261" i="6"/>
  <c r="J264" i="6"/>
  <c r="J260" i="6"/>
  <c r="J263" i="6"/>
  <c r="K89" i="6"/>
  <c r="K256" i="6"/>
  <c r="K272" i="6" s="1"/>
  <c r="K173" i="6" s="1"/>
  <c r="K52" i="6"/>
  <c r="K54" i="6" s="1"/>
  <c r="L61" i="6"/>
  <c r="L69" i="6" s="1"/>
  <c r="L87" i="6" s="1"/>
  <c r="O66" i="6"/>
  <c r="O12" i="6"/>
  <c r="N13" i="6"/>
  <c r="M83" i="6"/>
  <c r="M28" i="6"/>
  <c r="M85" i="6" s="1"/>
  <c r="O20" i="6"/>
  <c r="N22" i="6"/>
  <c r="N26" i="6"/>
  <c r="N67" i="6"/>
  <c r="O64" i="6"/>
  <c r="O65" i="6"/>
  <c r="D210" i="6"/>
  <c r="E209" i="6"/>
  <c r="O45" i="6"/>
  <c r="M61" i="6"/>
  <c r="M69" i="6" s="1"/>
  <c r="M87" i="6" s="1"/>
  <c r="O44" i="6"/>
  <c r="N59" i="6"/>
  <c r="N46" i="6"/>
  <c r="K208" i="6"/>
  <c r="L50" i="24"/>
  <c r="L51" i="24"/>
  <c r="L60" i="24"/>
  <c r="L59" i="24"/>
  <c r="L49" i="24"/>
  <c r="O66" i="24"/>
  <c r="K61" i="24"/>
  <c r="K69" i="24" s="1"/>
  <c r="K87" i="24" s="1"/>
  <c r="K89" i="24" s="1"/>
  <c r="K92" i="24" s="1"/>
  <c r="O65" i="24"/>
  <c r="N46" i="24"/>
  <c r="O44" i="24"/>
  <c r="K52" i="24"/>
  <c r="K54" i="24" s="1"/>
  <c r="O45" i="24"/>
  <c r="L28" i="24"/>
  <c r="L85" i="24" s="1"/>
  <c r="L83" i="24"/>
  <c r="N67" i="24"/>
  <c r="O64" i="24"/>
  <c r="N20" i="24"/>
  <c r="M22" i="24"/>
  <c r="M39" i="24"/>
  <c r="M27" i="24"/>
  <c r="M84" i="24" s="1"/>
  <c r="M26" i="24"/>
  <c r="E206" i="24"/>
  <c r="D207" i="24"/>
  <c r="K211" i="24"/>
  <c r="H43" i="23"/>
  <c r="H45" i="23"/>
  <c r="N60" i="6" l="1"/>
  <c r="L52" i="24"/>
  <c r="L54" i="24" s="1"/>
  <c r="L61" i="24"/>
  <c r="L69" i="24" s="1"/>
  <c r="L87" i="24" s="1"/>
  <c r="L89" i="24" s="1"/>
  <c r="L92" i="24" s="1"/>
  <c r="N27" i="6"/>
  <c r="N84" i="6" s="1"/>
  <c r="N50" i="6"/>
  <c r="N51" i="6"/>
  <c r="M255" i="6"/>
  <c r="M267" i="6" s="1"/>
  <c r="M157" i="6" s="1"/>
  <c r="AC12" i="21"/>
  <c r="L255" i="6"/>
  <c r="L267" i="6" s="1"/>
  <c r="L157" i="6" s="1"/>
  <c r="AB12" i="21"/>
  <c r="AB13" i="21" s="1"/>
  <c r="O12" i="24"/>
  <c r="O13" i="24" s="1"/>
  <c r="N13" i="24"/>
  <c r="M177" i="6"/>
  <c r="K92" i="6"/>
  <c r="K255" i="6"/>
  <c r="K267" i="6" s="1"/>
  <c r="K157" i="6" s="1"/>
  <c r="N319" i="6"/>
  <c r="K269" i="6"/>
  <c r="K159" i="6" s="1"/>
  <c r="K270" i="6"/>
  <c r="K160" i="6" s="1"/>
  <c r="K268" i="6"/>
  <c r="K158" i="6" s="1"/>
  <c r="K271" i="6"/>
  <c r="K172" i="6" s="1"/>
  <c r="L89" i="6"/>
  <c r="L92" i="6" s="1"/>
  <c r="L256" i="6"/>
  <c r="L272" i="6" s="1"/>
  <c r="L173" i="6" s="1"/>
  <c r="M89" i="6"/>
  <c r="M92" i="6" s="1"/>
  <c r="M256" i="6"/>
  <c r="M272" i="6" s="1"/>
  <c r="M173" i="6" s="1"/>
  <c r="N52" i="6"/>
  <c r="N54" i="6" s="1"/>
  <c r="N83" i="6"/>
  <c r="N28" i="6"/>
  <c r="N85" i="6" s="1"/>
  <c r="L209" i="6"/>
  <c r="M209" i="6" s="1"/>
  <c r="O22" i="6"/>
  <c r="N19" i="2" s="1"/>
  <c r="O26" i="6"/>
  <c r="O39" i="6"/>
  <c r="O50" i="6" s="1"/>
  <c r="K214" i="6"/>
  <c r="L208" i="6"/>
  <c r="D211" i="6"/>
  <c r="E210" i="6"/>
  <c r="M210" i="6" s="1"/>
  <c r="N61" i="6"/>
  <c r="N69" i="6" s="1"/>
  <c r="N87" i="6" s="1"/>
  <c r="O27" i="6"/>
  <c r="O84" i="6" s="1"/>
  <c r="O13" i="6"/>
  <c r="O46" i="6"/>
  <c r="O67" i="6"/>
  <c r="M28" i="24"/>
  <c r="M85" i="24" s="1"/>
  <c r="M83" i="24"/>
  <c r="O20" i="24"/>
  <c r="N22" i="24"/>
  <c r="N39" i="24"/>
  <c r="N27" i="24"/>
  <c r="N84" i="24" s="1"/>
  <c r="N26" i="24"/>
  <c r="O46" i="24"/>
  <c r="O67" i="24"/>
  <c r="D208" i="24"/>
  <c r="E207" i="24"/>
  <c r="M49" i="24"/>
  <c r="M60" i="24"/>
  <c r="M50" i="24"/>
  <c r="M59" i="24"/>
  <c r="M51" i="24"/>
  <c r="N255" i="6" l="1"/>
  <c r="N267" i="6" s="1"/>
  <c r="N157" i="6" s="1"/>
  <c r="AD12" i="21"/>
  <c r="AD13" i="21" s="1"/>
  <c r="K108" i="6"/>
  <c r="AA16" i="21"/>
  <c r="K363" i="6"/>
  <c r="M108" i="6"/>
  <c r="AC16" i="21"/>
  <c r="M363" i="6"/>
  <c r="L108" i="6"/>
  <c r="AB16" i="21"/>
  <c r="L363" i="6"/>
  <c r="AC13" i="21"/>
  <c r="M61" i="24"/>
  <c r="M69" i="24" s="1"/>
  <c r="M87" i="24" s="1"/>
  <c r="M89" i="24" s="1"/>
  <c r="M92" i="24" s="1"/>
  <c r="O315" i="6"/>
  <c r="N177" i="6"/>
  <c r="O319" i="6"/>
  <c r="O323" i="6"/>
  <c r="K273" i="6"/>
  <c r="M271" i="6"/>
  <c r="M172" i="6" s="1"/>
  <c r="M269" i="6"/>
  <c r="M159" i="6" s="1"/>
  <c r="M268" i="6"/>
  <c r="M158" i="6" s="1"/>
  <c r="M270" i="6"/>
  <c r="M160" i="6" s="1"/>
  <c r="L271" i="6"/>
  <c r="L172" i="6" s="1"/>
  <c r="L269" i="6"/>
  <c r="L159" i="6" s="1"/>
  <c r="L268" i="6"/>
  <c r="L158" i="6" s="1"/>
  <c r="L270" i="6"/>
  <c r="L160" i="6" s="1"/>
  <c r="N89" i="6"/>
  <c r="N92" i="6" s="1"/>
  <c r="N256" i="6"/>
  <c r="N272" i="6" s="1"/>
  <c r="N173" i="6" s="1"/>
  <c r="K94" i="6"/>
  <c r="K216" i="6"/>
  <c r="O59" i="6"/>
  <c r="M208" i="6"/>
  <c r="M214" i="6" s="1"/>
  <c r="M94" i="6" s="1"/>
  <c r="L214" i="6"/>
  <c r="L94" i="6" s="1"/>
  <c r="O28" i="6"/>
  <c r="O85" i="6" s="1"/>
  <c r="O83" i="6"/>
  <c r="N209" i="6"/>
  <c r="O209" i="6" s="1"/>
  <c r="O49" i="6"/>
  <c r="D212" i="6"/>
  <c r="E211" i="6"/>
  <c r="N211" i="6" s="1"/>
  <c r="N210" i="6"/>
  <c r="O210" i="6" s="1"/>
  <c r="O51" i="6"/>
  <c r="O60" i="6"/>
  <c r="N28" i="24"/>
  <c r="N85" i="24" s="1"/>
  <c r="N83" i="24"/>
  <c r="N49" i="24"/>
  <c r="N50" i="24"/>
  <c r="N59" i="24"/>
  <c r="N60" i="24"/>
  <c r="N51" i="24"/>
  <c r="M211" i="24"/>
  <c r="E208" i="24"/>
  <c r="D209" i="24"/>
  <c r="L211" i="24"/>
  <c r="O39" i="24"/>
  <c r="O22" i="24"/>
  <c r="O26" i="24"/>
  <c r="O27" i="24"/>
  <c r="O84" i="24" s="1"/>
  <c r="M52" i="24"/>
  <c r="M54" i="24" s="1"/>
  <c r="O255" i="6" l="1"/>
  <c r="O267" i="6" s="1"/>
  <c r="O157" i="6" s="1"/>
  <c r="AE12" i="21"/>
  <c r="AE13" i="21" s="1"/>
  <c r="AB18" i="21"/>
  <c r="AB17" i="21"/>
  <c r="AC18" i="21"/>
  <c r="AC17" i="21"/>
  <c r="AA18" i="21"/>
  <c r="AA17" i="21"/>
  <c r="N108" i="6"/>
  <c r="N363" i="6"/>
  <c r="AD16" i="21"/>
  <c r="L202" i="6"/>
  <c r="L216" i="6" s="1"/>
  <c r="K163" i="6"/>
  <c r="K165" i="6" s="1"/>
  <c r="O177" i="6"/>
  <c r="L95" i="6"/>
  <c r="L122" i="6"/>
  <c r="M95" i="6"/>
  <c r="M109" i="6" s="1"/>
  <c r="M122" i="6"/>
  <c r="K95" i="6"/>
  <c r="K122" i="6"/>
  <c r="K98" i="6"/>
  <c r="K229" i="6" s="1"/>
  <c r="K232" i="6" s="1"/>
  <c r="K237" i="6" s="1"/>
  <c r="K100" i="6" s="1"/>
  <c r="K109" i="6"/>
  <c r="L273" i="6"/>
  <c r="L275" i="6" s="1"/>
  <c r="L124" i="6" s="1"/>
  <c r="M273" i="6"/>
  <c r="K275" i="6"/>
  <c r="K124" i="6" s="1"/>
  <c r="N271" i="6"/>
  <c r="N172" i="6" s="1"/>
  <c r="N269" i="6"/>
  <c r="N159" i="6" s="1"/>
  <c r="N268" i="6"/>
  <c r="N158" i="6" s="1"/>
  <c r="N270" i="6"/>
  <c r="N160" i="6" s="1"/>
  <c r="O61" i="6"/>
  <c r="O69" i="6" s="1"/>
  <c r="O87" i="6" s="1"/>
  <c r="O52" i="6"/>
  <c r="O54" i="6" s="1"/>
  <c r="N208" i="6"/>
  <c r="O208" i="6" s="1"/>
  <c r="E212" i="6"/>
  <c r="O212" i="6" s="1"/>
  <c r="O211" i="6"/>
  <c r="N211" i="24"/>
  <c r="O28" i="24"/>
  <c r="O85" i="24" s="1"/>
  <c r="O83" i="24"/>
  <c r="N61" i="24"/>
  <c r="N69" i="24" s="1"/>
  <c r="N87" i="24" s="1"/>
  <c r="N89" i="24" s="1"/>
  <c r="N92" i="24" s="1"/>
  <c r="O49" i="24"/>
  <c r="O51" i="24"/>
  <c r="O50" i="24"/>
  <c r="O59" i="24"/>
  <c r="O60" i="24"/>
  <c r="N52" i="24"/>
  <c r="N54" i="24" s="1"/>
  <c r="E209" i="24"/>
  <c r="AD18" i="21" l="1"/>
  <c r="AD17" i="21"/>
  <c r="M202" i="6"/>
  <c r="M216" i="6" s="1"/>
  <c r="L163" i="6"/>
  <c r="L165" i="6" s="1"/>
  <c r="L109" i="6"/>
  <c r="K234" i="6"/>
  <c r="K239" i="6" s="1"/>
  <c r="K102" i="6" s="1"/>
  <c r="K104" i="6" s="1"/>
  <c r="AA21" i="21" s="1"/>
  <c r="N273" i="6"/>
  <c r="N275" i="6" s="1"/>
  <c r="N124" i="6" s="1"/>
  <c r="M275" i="6"/>
  <c r="M124" i="6" s="1"/>
  <c r="O89" i="6"/>
  <c r="O92" i="6" s="1"/>
  <c r="O256" i="6"/>
  <c r="O272" i="6" s="1"/>
  <c r="O173" i="6" s="1"/>
  <c r="O214" i="6"/>
  <c r="O94" i="6" s="1"/>
  <c r="N214" i="6"/>
  <c r="N94" i="6" s="1"/>
  <c r="O61" i="24"/>
  <c r="O69" i="24" s="1"/>
  <c r="O87" i="24" s="1"/>
  <c r="O89" i="24" s="1"/>
  <c r="O92" i="24" s="1"/>
  <c r="O52" i="24"/>
  <c r="O54" i="24" s="1"/>
  <c r="O211" i="24"/>
  <c r="O108" i="6" l="1"/>
  <c r="O363" i="6"/>
  <c r="AE16" i="21"/>
  <c r="AA23" i="21"/>
  <c r="AA22" i="21"/>
  <c r="N202" i="6"/>
  <c r="M163" i="6"/>
  <c r="M165" i="6" s="1"/>
  <c r="K238" i="6"/>
  <c r="N95" i="6"/>
  <c r="N109" i="6" s="1"/>
  <c r="N122" i="6"/>
  <c r="O95" i="6"/>
  <c r="O109" i="6" s="1"/>
  <c r="O122" i="6"/>
  <c r="K121" i="6"/>
  <c r="K343" i="6"/>
  <c r="O271" i="6"/>
  <c r="O172" i="6" s="1"/>
  <c r="O268" i="6"/>
  <c r="O158" i="6" s="1"/>
  <c r="O269" i="6"/>
  <c r="O159" i="6" s="1"/>
  <c r="O270" i="6"/>
  <c r="O160" i="6" s="1"/>
  <c r="N216" i="6"/>
  <c r="AE17" i="21" l="1"/>
  <c r="AE18" i="21"/>
  <c r="O202" i="6"/>
  <c r="O216" i="6" s="1"/>
  <c r="O163" i="6" s="1"/>
  <c r="O165" i="6" s="1"/>
  <c r="N163" i="6"/>
  <c r="N165" i="6" s="1"/>
  <c r="K101" i="6"/>
  <c r="K123" i="6" s="1"/>
  <c r="K176" i="6"/>
  <c r="K125" i="6"/>
  <c r="K344" i="6"/>
  <c r="K138" i="6" s="1"/>
  <c r="K349" i="6"/>
  <c r="O273" i="6"/>
  <c r="O275" i="6" s="1"/>
  <c r="O124" i="6" s="1"/>
  <c r="K178" i="6" l="1"/>
  <c r="K298" i="6"/>
  <c r="K350" i="6"/>
  <c r="K351" i="6" s="1"/>
  <c r="K302" i="6"/>
  <c r="K303" i="6" l="1"/>
  <c r="K306" i="6" s="1"/>
  <c r="K135" i="6" s="1"/>
  <c r="K139" i="6" s="1"/>
  <c r="K142" i="6" s="1"/>
  <c r="K290" i="6" s="1"/>
  <c r="K291" i="6" s="1"/>
  <c r="L289" i="6" s="1"/>
  <c r="L348" i="6"/>
  <c r="K183" i="6"/>
  <c r="K184" i="6" s="1"/>
  <c r="K110" i="6" l="1"/>
  <c r="K144" i="6"/>
  <c r="L294" i="6"/>
  <c r="K307" i="6"/>
  <c r="K171" i="6" l="1"/>
  <c r="K362" i="6"/>
  <c r="K366" i="6" s="1"/>
  <c r="L143" i="6"/>
  <c r="K156" i="6"/>
  <c r="K161" i="6" s="1"/>
  <c r="K167" i="6" s="1"/>
  <c r="L305" i="6"/>
  <c r="L310" i="6" s="1"/>
  <c r="L326" i="6" s="1"/>
  <c r="L97" i="6" s="1"/>
  <c r="L98" i="6" s="1"/>
  <c r="K174" i="6" l="1"/>
  <c r="K180" i="6" s="1"/>
  <c r="K186" i="6" s="1"/>
  <c r="AA28" i="21"/>
  <c r="AA29" i="21" s="1"/>
  <c r="K188" i="6"/>
  <c r="L229" i="6"/>
  <c r="L234" i="6" l="1"/>
  <c r="L239" i="6" s="1"/>
  <c r="L232" i="6"/>
  <c r="L237" i="6" s="1"/>
  <c r="L100" i="6" s="1"/>
  <c r="L102" i="6" l="1"/>
  <c r="L104" i="6" s="1"/>
  <c r="AB21" i="21" s="1"/>
  <c r="L238" i="6"/>
  <c r="AB23" i="21" l="1"/>
  <c r="AB22" i="21"/>
  <c r="L101" i="6"/>
  <c r="L123" i="6" s="1"/>
  <c r="L176" i="6"/>
  <c r="L121" i="6"/>
  <c r="L343" i="6"/>
  <c r="L178" i="6" l="1"/>
  <c r="L125" i="6"/>
  <c r="L298" i="6" s="1"/>
  <c r="L344" i="6"/>
  <c r="L138" i="6" s="1"/>
  <c r="L349" i="6"/>
  <c r="L350" i="6" l="1"/>
  <c r="L351" i="6" s="1"/>
  <c r="L302" i="6"/>
  <c r="L303" i="6" s="1"/>
  <c r="L306" i="6" s="1"/>
  <c r="M348" i="6" l="1"/>
  <c r="L183" i="6"/>
  <c r="L184" i="6" s="1"/>
  <c r="L307" i="6"/>
  <c r="L110" i="6" l="1"/>
  <c r="M305" i="6"/>
  <c r="M310" i="6" s="1"/>
  <c r="M326" i="6" s="1"/>
  <c r="M97" i="6" s="1"/>
  <c r="M98" i="6" s="1"/>
  <c r="M229" i="6" s="1"/>
  <c r="L171" i="6"/>
  <c r="L362" i="6"/>
  <c r="L366" i="6" s="1"/>
  <c r="L135" i="6"/>
  <c r="L139" i="6" s="1"/>
  <c r="L142" i="6" s="1"/>
  <c r="L174" i="6" l="1"/>
  <c r="L180" i="6" s="1"/>
  <c r="L186" i="6" s="1"/>
  <c r="AB28" i="21"/>
  <c r="AB29" i="21" s="1"/>
  <c r="L290" i="6"/>
  <c r="L291" i="6" s="1"/>
  <c r="M289" i="6" s="1"/>
  <c r="M294" i="6" s="1"/>
  <c r="L144" i="6"/>
  <c r="M234" i="6"/>
  <c r="M239" i="6" s="1"/>
  <c r="M102" i="6" s="1"/>
  <c r="M104" i="6" s="1"/>
  <c r="AC21" i="21" s="1"/>
  <c r="M232" i="6"/>
  <c r="M237" i="6" s="1"/>
  <c r="M100" i="6" s="1"/>
  <c r="AC23" i="21" l="1"/>
  <c r="AC22" i="21"/>
  <c r="M143" i="6"/>
  <c r="L156" i="6"/>
  <c r="L161" i="6" s="1"/>
  <c r="L167" i="6" s="1"/>
  <c r="L188" i="6" s="1"/>
  <c r="M238" i="6"/>
  <c r="M121" i="6"/>
  <c r="M343" i="6"/>
  <c r="M101" i="6" l="1"/>
  <c r="M123" i="6" s="1"/>
  <c r="M125" i="6" s="1"/>
  <c r="M176" i="6"/>
  <c r="M349" i="6"/>
  <c r="M344" i="6"/>
  <c r="M138" i="6" s="1"/>
  <c r="M178" i="6" l="1"/>
  <c r="M298" i="6"/>
  <c r="M302" i="6"/>
  <c r="M350" i="6"/>
  <c r="M351" i="6" s="1"/>
  <c r="N348" i="6" l="1"/>
  <c r="M183" i="6"/>
  <c r="M184" i="6" s="1"/>
  <c r="M303" i="6"/>
  <c r="M306" i="6" s="1"/>
  <c r="M307" i="6" s="1"/>
  <c r="M135" i="6" l="1"/>
  <c r="M139" i="6" s="1"/>
  <c r="M142" i="6" s="1"/>
  <c r="M290" i="6" s="1"/>
  <c r="M291" i="6" s="1"/>
  <c r="N289" i="6" s="1"/>
  <c r="N294" i="6" s="1"/>
  <c r="N305" i="6"/>
  <c r="N310" i="6" s="1"/>
  <c r="N326" i="6" s="1"/>
  <c r="N97" i="6" s="1"/>
  <c r="N98" i="6" s="1"/>
  <c r="N229" i="6" s="1"/>
  <c r="M171" i="6"/>
  <c r="M362" i="6"/>
  <c r="M366" i="6" s="1"/>
  <c r="M110" i="6"/>
  <c r="M174" i="6" l="1"/>
  <c r="M180" i="6" s="1"/>
  <c r="M186" i="6" s="1"/>
  <c r="AC28" i="21"/>
  <c r="AC29" i="21" s="1"/>
  <c r="M144" i="6"/>
  <c r="N143" i="6" s="1"/>
  <c r="N234" i="6"/>
  <c r="N239" i="6" s="1"/>
  <c r="N232" i="6"/>
  <c r="N237" i="6" s="1"/>
  <c r="N100" i="6" s="1"/>
  <c r="M156" i="6" l="1"/>
  <c r="M161" i="6" s="1"/>
  <c r="M167" i="6" s="1"/>
  <c r="M188" i="6" s="1"/>
  <c r="N238" i="6"/>
  <c r="N102" i="6"/>
  <c r="N104" i="6" s="1"/>
  <c r="N121" i="6" l="1"/>
  <c r="AD21" i="21"/>
  <c r="N101" i="6"/>
  <c r="N123" i="6" s="1"/>
  <c r="N176" i="6"/>
  <c r="N343" i="6"/>
  <c r="N349" i="6" s="1"/>
  <c r="N344" i="6" l="1"/>
  <c r="N138" i="6" s="1"/>
  <c r="N125" i="6"/>
  <c r="N298" i="6" s="1"/>
  <c r="AD22" i="21"/>
  <c r="AD23" i="21"/>
  <c r="N178" i="6"/>
  <c r="N302" i="6"/>
  <c r="N350" i="6"/>
  <c r="N351" i="6" s="1"/>
  <c r="N303" i="6" l="1"/>
  <c r="N306" i="6" s="1"/>
  <c r="N307" i="6" s="1"/>
  <c r="O348" i="6"/>
  <c r="N183" i="6"/>
  <c r="N184" i="6" s="1"/>
  <c r="N135" i="6" l="1"/>
  <c r="N139" i="6" s="1"/>
  <c r="N142" i="6" s="1"/>
  <c r="N290" i="6" s="1"/>
  <c r="N291" i="6" s="1"/>
  <c r="O289" i="6" s="1"/>
  <c r="O294" i="6" s="1"/>
  <c r="O305" i="6"/>
  <c r="O310" i="6" s="1"/>
  <c r="O326" i="6" s="1"/>
  <c r="O97" i="6" s="1"/>
  <c r="O98" i="6" s="1"/>
  <c r="O229" i="6" s="1"/>
  <c r="N171" i="6"/>
  <c r="N362" i="6"/>
  <c r="N366" i="6" s="1"/>
  <c r="N110" i="6"/>
  <c r="N174" i="6" l="1"/>
  <c r="N180" i="6" s="1"/>
  <c r="N186" i="6" s="1"/>
  <c r="AD28" i="21"/>
  <c r="AD29" i="21" s="1"/>
  <c r="N144" i="6"/>
  <c r="N156" i="6" s="1"/>
  <c r="N161" i="6" s="1"/>
  <c r="N167" i="6" s="1"/>
  <c r="N188" i="6" s="1"/>
  <c r="O232" i="6"/>
  <c r="O237" i="6" s="1"/>
  <c r="O100" i="6" s="1"/>
  <c r="O234" i="6"/>
  <c r="O239" i="6" s="1"/>
  <c r="O143" i="6" l="1"/>
  <c r="O238" i="6"/>
  <c r="O102" i="6"/>
  <c r="O104" i="6" s="1"/>
  <c r="AE21" i="21" s="1"/>
  <c r="AE23" i="21" l="1"/>
  <c r="AE22" i="21"/>
  <c r="O101" i="6"/>
  <c r="O123" i="6" s="1"/>
  <c r="O176" i="6"/>
  <c r="O178" i="6" s="1"/>
  <c r="O121" i="6"/>
  <c r="O343" i="6"/>
  <c r="O344" i="6" s="1"/>
  <c r="O138" i="6" s="1"/>
  <c r="O349" i="6" l="1"/>
  <c r="O125" i="6"/>
  <c r="O298" i="6" s="1"/>
  <c r="O350" i="6"/>
  <c r="O302" i="6"/>
  <c r="O351" i="6" l="1"/>
  <c r="O183" i="6" s="1"/>
  <c r="O184" i="6" s="1"/>
  <c r="O110" i="6" s="1"/>
  <c r="O303" i="6"/>
  <c r="O306" i="6" s="1"/>
  <c r="O135" i="6" s="1"/>
  <c r="O139" i="6" s="1"/>
  <c r="O142" i="6" s="1"/>
  <c r="O307" i="6" l="1"/>
  <c r="O362" i="6" s="1"/>
  <c r="O366" i="6" s="1"/>
  <c r="O290" i="6"/>
  <c r="O291" i="6" s="1"/>
  <c r="O144" i="6"/>
  <c r="O156" i="6" s="1"/>
  <c r="O161" i="6" s="1"/>
  <c r="O167" i="6" s="1"/>
  <c r="O171" i="6" l="1"/>
  <c r="O174" i="6" l="1"/>
  <c r="O180" i="6" s="1"/>
  <c r="O186" i="6" s="1"/>
  <c r="O188" i="6" s="1"/>
  <c r="AE28" i="21"/>
  <c r="AE29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94" authorId="0" shapeId="0" xr:uid="{00000000-0006-0000-0400-000001000000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0" authorId="0" shapeId="0" xr:uid="{00000000-0006-0000-0400-000002000000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23" authorId="0" shapeId="0" xr:uid="{00000000-0006-0000-0400-000003000000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88" authorId="0" shapeId="0" xr:uid="{42D968F4-9DBD-41D6-9D0A-3B03C7EA936B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04" authorId="0" shapeId="0" xr:uid="{6A2C32BB-E2F9-4BD4-9673-2406F9FB6DA4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3" authorId="0" shapeId="0" xr:uid="{8F84A676-D331-4A7C-ACF9-0A7DC873F468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sharedStrings.xml><?xml version="1.0" encoding="utf-8"?>
<sst xmlns="http://schemas.openxmlformats.org/spreadsheetml/2006/main" count="843" uniqueCount="341">
  <si>
    <t>Practical Skills Module: Financial Modeling</t>
  </si>
  <si>
    <t xml:space="preserve"> </t>
  </si>
  <si>
    <t>Blu Containers Company</t>
  </si>
  <si>
    <t>Financial Model Worksheet - Vertical Orientation</t>
  </si>
  <si>
    <t>Powered by:</t>
  </si>
  <si>
    <t>Summary Outputs</t>
  </si>
  <si>
    <t>SUMMARY VALUES - BASE CASE</t>
  </si>
  <si>
    <t>Projected</t>
  </si>
  <si>
    <t>($ Millions)</t>
  </si>
  <si>
    <t>Trend</t>
  </si>
  <si>
    <t>Income Statement Items</t>
  </si>
  <si>
    <t>Net Revenue</t>
  </si>
  <si>
    <t>(MM)</t>
  </si>
  <si>
    <t xml:space="preserve">   Growth</t>
  </si>
  <si>
    <t>(%)</t>
  </si>
  <si>
    <t>EBITDA</t>
  </si>
  <si>
    <t xml:space="preserve">   Margin</t>
  </si>
  <si>
    <t>Net Income</t>
  </si>
  <si>
    <t>SUMMARY VALUES - BEST CASE</t>
  </si>
  <si>
    <t>SUMMARY VALUES - WORST CASE</t>
  </si>
  <si>
    <t>Inputs and Assumptions</t>
  </si>
  <si>
    <t>GENERAL</t>
  </si>
  <si>
    <t>EQUITY</t>
  </si>
  <si>
    <t>-</t>
  </si>
  <si>
    <t>First year of forecast in financial model:</t>
  </si>
  <si>
    <t>Three scenarios have been used for Inflation, Product Pricing</t>
  </si>
  <si>
    <t>and sales volume growth</t>
  </si>
  <si>
    <t>Common Dividend Payout Rate</t>
  </si>
  <si>
    <t>PRODUCT PRICING</t>
  </si>
  <si>
    <t>OPERATIONS</t>
  </si>
  <si>
    <t>The product pricing cases used in the model are as follows:</t>
  </si>
  <si>
    <t>Pricing Case</t>
  </si>
  <si>
    <t>Annual Factory Capacity (000's units):</t>
  </si>
  <si>
    <t>Base Case</t>
  </si>
  <si>
    <t>Research Forecast</t>
  </si>
  <si>
    <t>Best Case</t>
  </si>
  <si>
    <t>Worst Case</t>
  </si>
  <si>
    <t>COSTS</t>
  </si>
  <si>
    <t>INTEREST RATES</t>
  </si>
  <si>
    <t>Cost Item</t>
  </si>
  <si>
    <t>Increases</t>
  </si>
  <si>
    <t>Raw Materials</t>
  </si>
  <si>
    <t>per Unit</t>
  </si>
  <si>
    <t>Inflation on a unit basis</t>
  </si>
  <si>
    <t>Interest earned on Cash balances:</t>
  </si>
  <si>
    <t>Utilities</t>
  </si>
  <si>
    <t>Interest rate on Bank Revolver:</t>
  </si>
  <si>
    <t>Rent</t>
  </si>
  <si>
    <t>MM</t>
  </si>
  <si>
    <t>Inflation on a total basis</t>
  </si>
  <si>
    <t>Interest rate on Senior Secured Term Debt:</t>
  </si>
  <si>
    <t>Operating Labour</t>
  </si>
  <si>
    <t>Other</t>
  </si>
  <si>
    <t>SG&amp;A</t>
  </si>
  <si>
    <t>DEPRECIATION</t>
  </si>
  <si>
    <t>TAXES</t>
  </si>
  <si>
    <t>Depreciation Methodology Used:</t>
  </si>
  <si>
    <t>Straight Line</t>
  </si>
  <si>
    <t>Years remaining for depreciation of existing assets:</t>
  </si>
  <si>
    <t>Tax rate assumed in the model:</t>
  </si>
  <si>
    <t>Years used for depreciation of new assets:</t>
  </si>
  <si>
    <t>Additional tax assumptions in "Other Assumptions" box</t>
  </si>
  <si>
    <t>OTHER ASSUMPTIONS</t>
  </si>
  <si>
    <t>Income Statement</t>
  </si>
  <si>
    <t>Cost Adjustments - Gain/(Loss)</t>
  </si>
  <si>
    <t>Cash Flow Statement</t>
  </si>
  <si>
    <t>Investing Activities - Other</t>
  </si>
  <si>
    <t>Capital Expenditures</t>
  </si>
  <si>
    <t>Income Tax</t>
  </si>
  <si>
    <t>Reduction in EBT for timing differences</t>
  </si>
  <si>
    <t>Working Capital Days</t>
  </si>
  <si>
    <t>Accounts Receivable</t>
  </si>
  <si>
    <t>days</t>
  </si>
  <si>
    <t>Inventories</t>
  </si>
  <si>
    <t>Prepaid Expenses</t>
  </si>
  <si>
    <t>Other Assets</t>
  </si>
  <si>
    <t>Accounts Payable</t>
  </si>
  <si>
    <t>Other Liabilities</t>
  </si>
  <si>
    <t>Change in Debt &amp; Equity</t>
  </si>
  <si>
    <t>Senior Term Debt Issuance / (Repayment)</t>
  </si>
  <si>
    <t>Common Stock Issuance / (Buy-back)</t>
  </si>
  <si>
    <t>Economic and Sales Scenarios</t>
  </si>
  <si>
    <t>SCENARIO SWITCH:</t>
  </si>
  <si>
    <t>ECONOMIC SCENARIOS</t>
  </si>
  <si>
    <t>Cost Inflation</t>
  </si>
  <si>
    <t>LIVE CASE -&gt;</t>
  </si>
  <si>
    <t>step1</t>
  </si>
  <si>
    <t>inputs</t>
  </si>
  <si>
    <t>blue</t>
  </si>
  <si>
    <t>SALES SCENARIOS</t>
  </si>
  <si>
    <t>Sales Price - $/Unit</t>
  </si>
  <si>
    <t>Sales Volume Growth</t>
  </si>
  <si>
    <t>Revenue Schedule</t>
  </si>
  <si>
    <t>Pricing</t>
  </si>
  <si>
    <t xml:space="preserve">Gross Sales Price </t>
  </si>
  <si>
    <t>($/unit)</t>
  </si>
  <si>
    <t>Freight &amp; Warehousing</t>
  </si>
  <si>
    <t>Net Sales Price</t>
  </si>
  <si>
    <t>Sales Volume</t>
  </si>
  <si>
    <t>Annual Factory Capacity</t>
  </si>
  <si>
    <t>(000's units)</t>
  </si>
  <si>
    <t>Annual Sales Volume</t>
  </si>
  <si>
    <t>Implied Operating Rate</t>
  </si>
  <si>
    <t>Revenue</t>
  </si>
  <si>
    <t>Gross Revenue</t>
  </si>
  <si>
    <t>($ MM)</t>
  </si>
  <si>
    <t>Costs of Production Schedule</t>
  </si>
  <si>
    <t>COSTS PER UNIT</t>
  </si>
  <si>
    <t>Variable Costs</t>
  </si>
  <si>
    <t>Total Variable Costs</t>
  </si>
  <si>
    <t>Fixed Costs</t>
  </si>
  <si>
    <t>Total Fixed Costs</t>
  </si>
  <si>
    <t>Total Costs</t>
  </si>
  <si>
    <t>COSTS IN MILLIONS</t>
  </si>
  <si>
    <t>Cost of Sales</t>
  </si>
  <si>
    <t>S,G &amp; A</t>
  </si>
  <si>
    <t>Depreciation</t>
  </si>
  <si>
    <t>EBIT</t>
  </si>
  <si>
    <t>Interest Expense</t>
  </si>
  <si>
    <t>EBT</t>
  </si>
  <si>
    <t>Current Income Taxes</t>
  </si>
  <si>
    <t>Deferred Income Taxes</t>
  </si>
  <si>
    <t>Total Income Taxes</t>
  </si>
  <si>
    <t>Margins</t>
  </si>
  <si>
    <t>EBITDA Margin</t>
  </si>
  <si>
    <t>EBIT Margin</t>
  </si>
  <si>
    <t>Return on Equity</t>
  </si>
  <si>
    <t>Operating Activities</t>
  </si>
  <si>
    <t>Depreciation &amp; Amortization</t>
  </si>
  <si>
    <t>Changes in working capital</t>
  </si>
  <si>
    <t>Operating Cash Flow</t>
  </si>
  <si>
    <t>Investing Activities</t>
  </si>
  <si>
    <t>CAPEX</t>
  </si>
  <si>
    <t>Investing Cash Flow</t>
  </si>
  <si>
    <t>Financing Activities</t>
  </si>
  <si>
    <t>Revolver Issuance / (Repayment)</t>
  </si>
  <si>
    <t>Term Debt Issuance / (Repayment)</t>
  </si>
  <si>
    <t>Common Shares Issuance/ (Buy-Back)</t>
  </si>
  <si>
    <t>Common Dividends</t>
  </si>
  <si>
    <t>Financing Cash Flow</t>
  </si>
  <si>
    <t>Change in the Cash Position</t>
  </si>
  <si>
    <t>Beginning Cash</t>
  </si>
  <si>
    <t>Ending Cash</t>
  </si>
  <si>
    <t>Balance Sheet</t>
  </si>
  <si>
    <t>ASSETS</t>
  </si>
  <si>
    <t>Cash</t>
  </si>
  <si>
    <t>Inventory</t>
  </si>
  <si>
    <t>Total Current Assets</t>
  </si>
  <si>
    <t>Net PP&amp;E</t>
  </si>
  <si>
    <t>Total Long Term Assets</t>
  </si>
  <si>
    <t>Total Assets</t>
  </si>
  <si>
    <t>LIABILITIES AND EQUITY</t>
  </si>
  <si>
    <t>Bank Debt - Revolver</t>
  </si>
  <si>
    <t>Total Current Liabilities</t>
  </si>
  <si>
    <t>Senior Secured Term Debt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</si>
  <si>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</si>
  <si>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</si>
  <si>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</si>
  <si>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</si>
  <si>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</si>
  <si>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</si>
  <si>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Check</t>
  </si>
  <si>
    <t>Depreciation Schedule</t>
  </si>
  <si>
    <t>Years Remaining Existing Assets:</t>
  </si>
  <si>
    <t>Depreciation Years on New Assets:</t>
  </si>
  <si>
    <t>Depreciation to Existing Assets</t>
  </si>
  <si>
    <t>Total Depreciation</t>
  </si>
  <si>
    <t>Income Tax Schedule</t>
  </si>
  <si>
    <t>Tax Rate</t>
  </si>
  <si>
    <t xml:space="preserve">Accounting EBT (as is on I/S)   </t>
  </si>
  <si>
    <t>A</t>
  </si>
  <si>
    <r>
      <rPr>
        <sz val="10"/>
        <rFont val="Arial"/>
        <charset val="134"/>
      </rPr>
      <t xml:space="preserve">Less: Reduction in EBT for timing differences </t>
    </r>
    <r>
      <rPr>
        <vertAlign val="superscript"/>
        <sz val="10"/>
        <rFont val="Arial"/>
        <charset val="134"/>
      </rPr>
      <t>(1)</t>
    </r>
  </si>
  <si>
    <t>Government EBT</t>
  </si>
  <si>
    <t>B</t>
  </si>
  <si>
    <t>Taxes as Appearing on Income Statement</t>
  </si>
  <si>
    <t>Increase (Decrease) in Deferred Income Taxes</t>
  </si>
  <si>
    <t>Total Income Taxes (Same as Accounting Taxes Above)</t>
  </si>
  <si>
    <t>(1) Assumes aggregate reduction in government pre-tax earnings due to timing differences between accounting and government rules.</t>
  </si>
  <si>
    <t>Working Capital Schedule</t>
  </si>
  <si>
    <t>Days per Year</t>
  </si>
  <si>
    <t>(days)</t>
  </si>
  <si>
    <t>Days In</t>
  </si>
  <si>
    <t>Account Balances</t>
  </si>
  <si>
    <t>Net Working Capital</t>
  </si>
  <si>
    <t>Change in Working Capital</t>
  </si>
  <si>
    <t>Debt and Interest Schedule</t>
  </si>
  <si>
    <t>FINANCING COMPONENT</t>
  </si>
  <si>
    <t>Amount Outstanding - Beginning</t>
  </si>
  <si>
    <t>Change in Cash</t>
  </si>
  <si>
    <t>Amount Outstanding - Ending</t>
  </si>
  <si>
    <t>Interest Rate</t>
  </si>
  <si>
    <t>Annual Interest Income</t>
  </si>
  <si>
    <t>Revolver</t>
  </si>
  <si>
    <t>Mandatory Debt Repayments</t>
  </si>
  <si>
    <t>Dividends</t>
  </si>
  <si>
    <t>FCF After Mandatory Debt Repayment and Dividend</t>
  </si>
  <si>
    <t>Revolver Outstanding - Beginning</t>
  </si>
  <si>
    <t>Additions / (Repayments)</t>
  </si>
  <si>
    <t>Revolver Outstanding - Ending</t>
  </si>
  <si>
    <t>Annual Interest Expense</t>
  </si>
  <si>
    <t>Net Interest Expense</t>
  </si>
  <si>
    <t>Shareholders' Equity Schedule</t>
  </si>
  <si>
    <t>New Issuance / (Buy-Back)</t>
  </si>
  <si>
    <t>Dividend Payout Rate</t>
  </si>
  <si>
    <t>Common Dividend</t>
  </si>
  <si>
    <t>Custom formating</t>
  </si>
  <si>
    <t>click on customised tab , the number is still a number and can be used in calculation</t>
  </si>
  <si>
    <t>to format cell to pos, neg, zero, text</t>
  </si>
  <si>
    <t>fjjgk</t>
  </si>
  <si>
    <t>Units</t>
  </si>
  <si>
    <t>Historical data</t>
  </si>
  <si>
    <t>Capacity Constraints - reached opearting rate</t>
  </si>
  <si>
    <t>conditional formating</t>
  </si>
  <si>
    <t>Backing into fixed and variable</t>
  </si>
  <si>
    <t>you might just know that last year variable costs were 75% of the total</t>
  </si>
  <si>
    <t>2022A</t>
  </si>
  <si>
    <t>Price - $/unit</t>
  </si>
  <si>
    <t>unit growth</t>
  </si>
  <si>
    <t>Units (000s)</t>
  </si>
  <si>
    <t>Revenue - $MM</t>
  </si>
  <si>
    <t>operating costs</t>
  </si>
  <si>
    <t>gross profit</t>
  </si>
  <si>
    <t>profit increase</t>
  </si>
  <si>
    <t>Revenue frowth</t>
  </si>
  <si>
    <t>profit margin</t>
  </si>
  <si>
    <t>Inflation</t>
  </si>
  <si>
    <t>Variable cost %</t>
  </si>
  <si>
    <t>Fixed cost %</t>
  </si>
  <si>
    <t>Variable cost - $/unit</t>
  </si>
  <si>
    <t>Fixed cost - $/unit</t>
  </si>
  <si>
    <t>total cost - $/unit</t>
  </si>
  <si>
    <t>Variable cost - $MM</t>
  </si>
  <si>
    <t>Fixed cost - $MM</t>
  </si>
  <si>
    <t>total cost - $MM</t>
  </si>
  <si>
    <t>Capturing the operating leverage</t>
  </si>
  <si>
    <t>how do we know if a company is experiencing operating leverage</t>
  </si>
  <si>
    <t>Annual growth</t>
  </si>
  <si>
    <t>Operating costs</t>
  </si>
  <si>
    <t>Gross profit</t>
  </si>
  <si>
    <t>if you forecast the ,argin and keep it constant; what does that assume about the costs ?</t>
  </si>
  <si>
    <t>this assumes that ALL the costs at the company are variable</t>
  </si>
  <si>
    <t>all comanises have some fixed costs</t>
  </si>
  <si>
    <t xml:space="preserve">what exactly is operating leverage? </t>
  </si>
  <si>
    <t>the idea that as revenue increases, the profit increases even faster because the company has fixed costs</t>
  </si>
  <si>
    <t>to check if there is operating leverage we need to check for the fixed cost per unit</t>
  </si>
  <si>
    <t>fixed cost per unit are going down because we are splitting fixed costs on more units</t>
  </si>
  <si>
    <t>OPERATING LEVERAGE</t>
  </si>
  <si>
    <t>WHEN MARGIN GOES UP THERE WOULD BE MORE PROFIT</t>
  </si>
  <si>
    <t>Semi  variable costs</t>
  </si>
  <si>
    <t>act like fixed costs within  a range of sales vou,e</t>
  </si>
  <si>
    <t>example : operating labour, you have 100 people up to 150 000 units</t>
  </si>
  <si>
    <t>at that level you can run two shifts</t>
  </si>
  <si>
    <t>beyond 150 000 units, you need to add a third shift, so 50 more people</t>
  </si>
  <si>
    <t>for every additional 25 000 units you need another shift, and 50 more people</t>
  </si>
  <si>
    <t>Max of SV (000s)</t>
  </si>
  <si>
    <t>Variable - $/unit</t>
  </si>
  <si>
    <t>Variable - $MM</t>
  </si>
  <si>
    <t>SV LABOUR - $/unit</t>
  </si>
  <si>
    <t>SV LABOUR - $MM</t>
  </si>
  <si>
    <t>FIXED - $/unit</t>
  </si>
  <si>
    <t>FIXED - $MM</t>
  </si>
  <si>
    <t>Cost</t>
  </si>
  <si>
    <t>2023F</t>
  </si>
  <si>
    <t xml:space="preserve">the method of calculation of others variables would work here only if we were to sell lower than the max of 150 </t>
  </si>
  <si>
    <t>Waterfall schedule</t>
  </si>
  <si>
    <t>Mid year convention : we assume assets are purchased in the middle of the year</t>
  </si>
  <si>
    <t>to automate Hlookup : ROW, MATCH</t>
  </si>
  <si>
    <t>Mid year convention factor : 2</t>
  </si>
  <si>
    <t>Depreciation % on New Assets:</t>
  </si>
  <si>
    <t>Fixed Assets (PP&amp;E) Schedule</t>
  </si>
  <si>
    <t>Fixed Assets (PP&amp;E) - Ending</t>
  </si>
  <si>
    <t>Fixed Assets (PP&amp;E) - Beginning</t>
  </si>
  <si>
    <t>Plus CAPEX</t>
  </si>
  <si>
    <t>Beg + Capex - Dep'n</t>
  </si>
  <si>
    <t>Goes to INC STMT</t>
  </si>
  <si>
    <t>Goes to BAL SHEET</t>
  </si>
  <si>
    <t>TAX CALCULATION</t>
  </si>
  <si>
    <t>EBT (Accounting)</t>
  </si>
  <si>
    <t>Taxable income (Gov'T)</t>
  </si>
  <si>
    <t>RATE</t>
  </si>
  <si>
    <t>TAX</t>
  </si>
  <si>
    <t>company hopes this number is lower than EBT (for example if the government depreciation is high)</t>
  </si>
  <si>
    <t>INCOME STATEMENT</t>
  </si>
  <si>
    <t>Deferred Tax</t>
  </si>
  <si>
    <t>Total Tax</t>
  </si>
  <si>
    <t>Net income</t>
  </si>
  <si>
    <t>Cash flow statement</t>
  </si>
  <si>
    <t>Balance sheet</t>
  </si>
  <si>
    <t>Def tax liability</t>
  </si>
  <si>
    <t>NON CASH</t>
  </si>
  <si>
    <t>SAME ON CFLO STMT</t>
  </si>
  <si>
    <t>Current Tax/cash</t>
  </si>
  <si>
    <t>deferred tax liability must beCUMULATIVE</t>
  </si>
  <si>
    <t>Government EBT / TAXABLE INCOME</t>
  </si>
  <si>
    <t>NOT INT BEARING CA AND CL</t>
  </si>
  <si>
    <t>STEP 1 from balance sheet</t>
  </si>
  <si>
    <t>STEP 2 CALCULATIONS</t>
  </si>
  <si>
    <t>STEP 3 : ASSUMPTIONS</t>
  </si>
  <si>
    <t>STEP 4 : CALCULATIONS</t>
  </si>
  <si>
    <t>AUTOMATING THE DAYS PER YEAR</t>
  </si>
  <si>
    <t>DAYS PER YEAR</t>
  </si>
  <si>
    <t>GOES TO CFLO STMT</t>
  </si>
  <si>
    <t xml:space="preserve">Senior term debt repayment percent </t>
  </si>
  <si>
    <t>Ending (with repayment percent)</t>
  </si>
  <si>
    <t>Repayments (percent)</t>
  </si>
  <si>
    <t>Amount Outstanding - Beginning (percent)</t>
  </si>
  <si>
    <t>from CFLO</t>
  </si>
  <si>
    <t>CFLO</t>
  </si>
  <si>
    <t>DEBT SCH</t>
  </si>
  <si>
    <t>EQUITY SCH</t>
  </si>
  <si>
    <t>FOUR RULES</t>
  </si>
  <si>
    <t>CAN NEVER BE NEGATIVE</t>
  </si>
  <si>
    <t>each piece of equity gets its own section</t>
  </si>
  <si>
    <t>usually assumption - decision</t>
  </si>
  <si>
    <t>constraint needed - MAX</t>
  </si>
  <si>
    <t>COM DIV GOES TO CFLO STMT AND REVOLVER</t>
  </si>
  <si>
    <t>unwinding the accruals on the inc stmt</t>
  </si>
  <si>
    <t>reflect changes in the asset on the BS that were not included in Inc STMT</t>
  </si>
  <si>
    <t>Changes in LIABILITIES AND EQUITY ON THE BS NOT INCLUDED IN INC STMT</t>
  </si>
  <si>
    <t>CFO+CFI+CFF</t>
  </si>
  <si>
    <t>END OF PREVIOUS</t>
  </si>
  <si>
    <t>SUM</t>
  </si>
  <si>
    <t>all the ROWS COME FROM THE CHANGE ROWS</t>
  </si>
  <si>
    <t>LINKED TO ENDING BALANCES</t>
  </si>
  <si>
    <t xml:space="preserve">deferred income tqx needs to be CUMULATIVE </t>
  </si>
  <si>
    <t>to find hard value =&gt; F5 g to special =&gt; select constants =&gt; model goes to all constants in the file shaded in grey</t>
  </si>
  <si>
    <t>to find errored formulas =&gt; select whole row =&gt; Ctrl +/</t>
  </si>
  <si>
    <t>Model Ratios</t>
  </si>
  <si>
    <t>Values</t>
  </si>
  <si>
    <t>Total Debt</t>
  </si>
  <si>
    <t>Debt/EBITDA</t>
  </si>
  <si>
    <t>Liquidity Ratios</t>
  </si>
  <si>
    <t>Credit ratios</t>
  </si>
  <si>
    <t>USE SPARKLINE IN SUMMARY FOR VISUALISATION</t>
  </si>
  <si>
    <t>three ways to automate summary !</t>
  </si>
  <si>
    <t>VBA copy paste macro with a button saying run the copy paste macro, it willgo to the scenario page, run the live model and copy the value directly to the table correspondent</t>
  </si>
  <si>
    <t>use data table (1 variable data table)</t>
  </si>
  <si>
    <t>self referencing if statementr</t>
  </si>
  <si>
    <t/>
  </si>
  <si>
    <t>Capital Structure</t>
  </si>
  <si>
    <t>VISUAL REPRESENTATION OF MAIN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</si>
</sst>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4" formatCode="_-* #,##0.00\ &quot;€&quot;_-;\-* #,##0.00\ &quot;€&quot;_-;_-* &quot;-&quot;??\ &quot;€&quot;_-;_-@_-"/>
    <numFmt numFmtId="164" formatCode="_(* #,##0.00_);_(* \(#,##0.00\);_(* &quot;-&quot;??_);_(@_)"/>
    <numFmt numFmtId="165" formatCode="&quot;$&quot;#,##0.00_);[Red]\(&quot;$&quot;#,##0.00\)"/>
    <numFmt numFmtId="166" formatCode="_-* #,##0_-;\-* #,##0_-;_-* &quot;-&quot;??_-;_-@_-"/>
    <numFmt numFmtId="167" formatCode="\&lt;0.00"/>
    <numFmt numFmtId="168" formatCode="0&quot; years&quot;"/>
    <numFmt numFmtId="169" formatCode="\+0.0;\(0.0\);\-;&quot;This cell should contain a value&quot;"/>
    <numFmt numFmtId="170" formatCode="0\A"/>
    <numFmt numFmtId="171" formatCode="_(* #,##0.0_);_(* \(#,##0.0\);_(* &quot;-&quot;??_);_(@_)"/>
    <numFmt numFmtId="172" formatCode="0.0%"/>
    <numFmt numFmtId="173" formatCode="_(* #,##0_);_(* \(#,##0\);_(* &quot;-&quot;??_);_(@_)"/>
    <numFmt numFmtId="174" formatCode="0.0%\ ;\(0.0%\)"/>
    <numFmt numFmtId="175" formatCode="0.0_);\(0.0\)"/>
    <numFmt numFmtId="176" formatCode="&quot;$&quot;#,##0.0_);\(&quot;$&quot;#,##0.0\)"/>
    <numFmt numFmtId="177" formatCode="#,##0.0_);\(#,##0.0\)"/>
    <numFmt numFmtId="178" formatCode="&quot;$&quot;#,##0_);[Red]\(&quot;$&quot;#,##0\)"/>
    <numFmt numFmtId="179" formatCode="0.0%;\(0.0%\)"/>
    <numFmt numFmtId="180" formatCode="0%;\(0%\)"/>
    <numFmt numFmtId="181" formatCode="&quot;$&quot;#,##0_);\(&quot;$&quot;#,##0\)"/>
    <numFmt numFmtId="182" formatCode="0.0\ \x"/>
    <numFmt numFmtId="183" formatCode="[&gt;-0.000001]\ 0.0_);\ \(0.0\)_)"/>
    <numFmt numFmtId="184" formatCode="#,##0.000_);\(#,##0.000\)"/>
    <numFmt numFmtId="185" formatCode="0.000_);\(0.000\)"/>
    <numFmt numFmtId="186" formatCode="&quot;$&quot;#,##0.000_);\(&quot;$&quot;#,##0.000\)"/>
    <numFmt numFmtId="187" formatCode="0_);\(0\)"/>
    <numFmt numFmtId="188" formatCode="#,##0.0000_);\(#,##0.0000\)"/>
    <numFmt numFmtId="189" formatCode="&quot;$&quot;#,##0.000000_);\(&quot;$&quot;#,##0.000000\)"/>
    <numFmt numFmtId="190" formatCode="&quot;$&quot;#,##0.0000_);\(&quot;$&quot;#,##0.0000\)"/>
    <numFmt numFmtId="191" formatCode="0.00_);\(0.00\)"/>
    <numFmt numFmtId="192" formatCode="0.00\ "/>
    <numFmt numFmtId="193" formatCode="&quot;- Opening UCC pool of &quot;&quot;$&quot;#,###.0&quot; million as of January 1, 1999&quot;"/>
    <numFmt numFmtId="194" formatCode="&quot;- EBITDA margin of &quot;0.0%"/>
    <numFmt numFmtId="195" formatCode="\+0%;\(0%\)"/>
    <numFmt numFmtId="196" formatCode="&quot;$&quot;#,##0.0"/>
    <numFmt numFmtId="197" formatCode="0\ &quot;years&quot;"/>
    <numFmt numFmtId="198" formatCode="&quot;$&quot;#,##0.00_);\(&quot;$&quot;#,##0.00\)"/>
    <numFmt numFmtId="199" formatCode="0\F"/>
    <numFmt numFmtId="200" formatCode="mmmm\ d\,\ yyyy"/>
    <numFmt numFmtId="201" formatCode="0.0"/>
    <numFmt numFmtId="202" formatCode="_-[$$-409]* #,##0.00_ ;_-[$$-409]* \-#,##0.00\ ;_-[$$-409]* &quot;-&quot;??_ ;_-@_ "/>
    <numFmt numFmtId="203" formatCode="_-[$$-409]* #,##0.0_ ;_-[$$-409]* \-#,##0.0\ ;_-[$$-409]* &quot;-&quot;??_ ;_-@_ "/>
    <numFmt numFmtId="204" formatCode="_-[$$-409]* #,##0.0_ ;_-[$$-409]* \-#,##0.0\ ;_-[$$-409]* &quot;-&quot;?_ ;_-@_ "/>
    <numFmt numFmtId="205" formatCode="#,##0.0"/>
    <numFmt numFmtId="206" formatCode="0.0\X"/>
  </numFmts>
  <fonts count="95">
    <font>
      <sz val="10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b/>
      <sz val="18"/>
      <color indexed="12"/>
      <name val="Arial"/>
      <charset val="134"/>
    </font>
    <font>
      <b/>
      <sz val="18"/>
      <name val="Arial"/>
      <charset val="134"/>
    </font>
    <font>
      <b/>
      <sz val="14"/>
      <name val="Arial"/>
      <charset val="134"/>
    </font>
    <font>
      <b/>
      <i/>
      <sz val="14"/>
      <color indexed="10"/>
      <name val="Arial"/>
      <charset val="134"/>
    </font>
    <font>
      <sz val="10"/>
      <color indexed="12"/>
      <name val="Arial"/>
      <charset val="134"/>
    </font>
    <font>
      <b/>
      <i/>
      <sz val="10"/>
      <name val="Arial"/>
      <charset val="134"/>
    </font>
    <font>
      <b/>
      <i/>
      <sz val="9"/>
      <color indexed="10"/>
      <name val="Arial"/>
      <charset val="134"/>
    </font>
    <font>
      <b/>
      <u/>
      <sz val="10"/>
      <name val="Arial"/>
      <charset val="134"/>
    </font>
    <font>
      <sz val="10"/>
      <color indexed="9"/>
      <name val="Arial"/>
      <charset val="134"/>
    </font>
    <font>
      <sz val="8"/>
      <name val="Arial"/>
      <charset val="134"/>
    </font>
    <font>
      <sz val="10"/>
      <color rgb="FF0000FF"/>
      <name val="Arial"/>
      <charset val="134"/>
    </font>
    <font>
      <i/>
      <sz val="10"/>
      <color indexed="12"/>
      <name val="Arial"/>
      <charset val="134"/>
    </font>
    <font>
      <b/>
      <sz val="8"/>
      <name val="Arial"/>
      <charset val="134"/>
    </font>
    <font>
      <b/>
      <sz val="10"/>
      <color indexed="9"/>
      <name val="Arial"/>
      <charset val="134"/>
    </font>
    <font>
      <b/>
      <sz val="10"/>
      <color rgb="FF0000FF"/>
      <name val="Arial"/>
      <charset val="134"/>
    </font>
    <font>
      <b/>
      <sz val="9"/>
      <name val="Arial"/>
      <charset val="134"/>
    </font>
    <font>
      <sz val="10"/>
      <color rgb="FF009B73"/>
      <name val="Arial"/>
      <charset val="134"/>
    </font>
    <font>
      <i/>
      <sz val="10"/>
      <name val="Arial"/>
      <charset val="134"/>
    </font>
    <font>
      <i/>
      <sz val="10"/>
      <color rgb="FF009B73"/>
      <name val="Arial"/>
      <charset val="134"/>
    </font>
    <font>
      <vertAlign val="superscript"/>
      <sz val="7"/>
      <name val="Arial"/>
      <charset val="134"/>
    </font>
    <font>
      <b/>
      <sz val="18"/>
      <color indexed="8"/>
      <name val="Arial"/>
      <charset val="134"/>
    </font>
    <font>
      <b/>
      <sz val="16"/>
      <color indexed="8"/>
      <name val="Arial"/>
      <charset val="134"/>
    </font>
    <font>
      <u/>
      <sz val="10"/>
      <color rgb="FF0000FF"/>
      <name val="Arial"/>
      <charset val="134"/>
    </font>
    <font>
      <sz val="8"/>
      <color indexed="12"/>
      <name val="Arial"/>
      <charset val="134"/>
    </font>
    <font>
      <b/>
      <sz val="9"/>
      <color indexed="12"/>
      <name val="Arial"/>
      <charset val="134"/>
    </font>
    <font>
      <b/>
      <sz val="20"/>
      <name val="Arial"/>
      <charset val="134"/>
    </font>
    <font>
      <b/>
      <sz val="10"/>
      <color indexed="10"/>
      <name val="Arial"/>
      <charset val="134"/>
    </font>
    <font>
      <u/>
      <sz val="10"/>
      <name val="Arial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8"/>
      <name val="Arial"/>
      <charset val="134"/>
    </font>
    <font>
      <i/>
      <sz val="9"/>
      <name val="Arial"/>
      <charset val="134"/>
    </font>
    <font>
      <b/>
      <u/>
      <sz val="9"/>
      <name val="Arial"/>
      <charset val="134"/>
    </font>
    <font>
      <b/>
      <sz val="10"/>
      <color rgb="FF009B73"/>
      <name val="Arial"/>
      <charset val="134"/>
    </font>
    <font>
      <b/>
      <sz val="9"/>
      <color indexed="8"/>
      <name val="Arial"/>
      <charset val="134"/>
    </font>
    <font>
      <sz val="9"/>
      <color indexed="12"/>
      <name val="Arial"/>
      <charset val="134"/>
    </font>
    <font>
      <sz val="10"/>
      <color indexed="61"/>
      <name val="Arial"/>
      <charset val="134"/>
    </font>
    <font>
      <b/>
      <sz val="10"/>
      <color indexed="12"/>
      <name val="Arial"/>
      <charset val="134"/>
    </font>
    <font>
      <sz val="10"/>
      <color indexed="10"/>
      <name val="Arial"/>
      <charset val="134"/>
    </font>
    <font>
      <sz val="12"/>
      <color indexed="8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i/>
      <sz val="12"/>
      <name val="Arial"/>
      <charset val="134"/>
    </font>
    <font>
      <b/>
      <sz val="11"/>
      <name val="Arial"/>
      <charset val="134"/>
    </font>
    <font>
      <sz val="9"/>
      <color rgb="FF009B73"/>
      <name val="Arial"/>
      <charset val="134"/>
    </font>
    <font>
      <sz val="9"/>
      <color indexed="8"/>
      <name val="Arial"/>
      <charset val="134"/>
    </font>
    <font>
      <sz val="12"/>
      <name val="Arial"/>
      <charset val="134"/>
    </font>
    <font>
      <b/>
      <sz val="14"/>
      <color indexed="8"/>
      <name val="Arial"/>
      <charset val="134"/>
    </font>
    <font>
      <b/>
      <sz val="10"/>
      <color theme="0"/>
      <name val="Arial"/>
      <charset val="134"/>
    </font>
    <font>
      <b/>
      <sz val="10"/>
      <color rgb="FFFF0000"/>
      <name val="Arial"/>
      <charset val="134"/>
    </font>
    <font>
      <b/>
      <sz val="20"/>
      <color indexed="12"/>
      <name val="Arial"/>
      <charset val="134"/>
    </font>
    <font>
      <b/>
      <i/>
      <sz val="14"/>
      <name val="Arial"/>
      <charset val="134"/>
    </font>
    <font>
      <b/>
      <sz val="12"/>
      <name val="Arial"/>
      <charset val="134"/>
    </font>
    <font>
      <sz val="10"/>
      <color theme="0"/>
      <name val="Arial"/>
      <charset val="134"/>
    </font>
    <font>
      <b/>
      <sz val="8"/>
      <color rgb="FF008ED6"/>
      <name val="Arial"/>
      <charset val="134"/>
    </font>
    <font>
      <sz val="10"/>
      <color rgb="FF002F6C"/>
      <name val="Arial"/>
      <charset val="134"/>
    </font>
    <font>
      <sz val="10"/>
      <color rgb="FF4586BB"/>
      <name val="Arial"/>
      <charset val="134"/>
    </font>
    <font>
      <i/>
      <sz val="9"/>
      <color rgb="FF002F6C"/>
      <name val="Arial"/>
      <charset val="134"/>
    </font>
    <font>
      <sz val="9"/>
      <color rgb="FF002F6C"/>
      <name val="Arial"/>
      <charset val="134"/>
    </font>
    <font>
      <b/>
      <i/>
      <sz val="10"/>
      <color theme="0"/>
      <name val="Arial"/>
      <charset val="134"/>
    </font>
    <font>
      <i/>
      <sz val="10"/>
      <color theme="0"/>
      <name val="Arial"/>
      <charset val="134"/>
    </font>
    <font>
      <sz val="12"/>
      <color theme="1"/>
      <name val="Arial"/>
      <charset val="134"/>
    </font>
    <font>
      <b/>
      <sz val="24"/>
      <color theme="1"/>
      <name val="Arial"/>
      <charset val="134"/>
    </font>
    <font>
      <sz val="16"/>
      <color theme="1"/>
      <name val="Arial"/>
      <charset val="134"/>
    </font>
    <font>
      <sz val="18"/>
      <color theme="1"/>
      <name val="Arial"/>
      <charset val="134"/>
    </font>
    <font>
      <b/>
      <sz val="24"/>
      <color theme="4"/>
      <name val="Arial"/>
      <charset val="134"/>
    </font>
    <font>
      <sz val="14"/>
      <name val="Arial"/>
      <charset val="134"/>
    </font>
    <font>
      <b/>
      <sz val="28"/>
      <color rgb="FF008ED6"/>
      <name val="Arial"/>
      <charset val="134"/>
    </font>
    <font>
      <sz val="14"/>
      <color theme="1"/>
      <name val="Arial"/>
      <charset val="134"/>
    </font>
    <font>
      <b/>
      <sz val="12"/>
      <color theme="4"/>
      <name val="Arial"/>
      <charset val="134"/>
    </font>
    <font>
      <u/>
      <sz val="12"/>
      <color theme="1"/>
      <name val="Arial"/>
      <charset val="134"/>
    </font>
    <font>
      <sz val="10"/>
      <name val="Aldine401 BT"/>
      <charset val="134"/>
    </font>
    <font>
      <sz val="11"/>
      <color theme="1"/>
      <name val="Calibri"/>
      <charset val="134"/>
      <scheme val="minor"/>
    </font>
    <font>
      <sz val="11"/>
      <color indexed="12"/>
      <name val="Book Antiqua"/>
      <charset val="134"/>
    </font>
    <font>
      <sz val="10"/>
      <name val="Book Antiqua"/>
      <charset val="134"/>
    </font>
    <font>
      <sz val="12"/>
      <color theme="1"/>
      <name val="Calibri"/>
      <charset val="134"/>
      <scheme val="minor"/>
    </font>
    <font>
      <sz val="10"/>
      <name val="Times New Roman"/>
      <charset val="134"/>
    </font>
    <font>
      <vertAlign val="superscript"/>
      <sz val="10"/>
      <name val="Arial"/>
      <charset val="134"/>
    </font>
    <font>
      <sz val="10"/>
      <name val="Arial"/>
      <charset val="134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5B77CC"/>
      <name val="Arial"/>
      <family val="2"/>
    </font>
    <font>
      <b/>
      <sz val="10"/>
      <color rgb="FF002F6C"/>
      <name val="Arial"/>
      <family val="2"/>
    </font>
    <font>
      <sz val="10"/>
      <color indexed="8"/>
      <name val="Arial"/>
      <family val="2"/>
    </font>
    <font>
      <b/>
      <i/>
      <sz val="9"/>
      <name val="Arial"/>
      <family val="2"/>
    </font>
    <font>
      <b/>
      <i/>
      <sz val="9"/>
      <color rgb="FF00B0F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8ED6"/>
      <name val="Arial"/>
      <family val="2"/>
    </font>
    <font>
      <b/>
      <sz val="10"/>
      <color rgb="FF008ED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4586BB"/>
      </right>
      <top style="thin">
        <color rgb="FF4586BB"/>
      </top>
      <bottom/>
      <diagonal/>
    </border>
    <border>
      <left/>
      <right style="thin">
        <color rgb="FF4586BB"/>
      </right>
      <top/>
      <bottom/>
      <diagonal/>
    </border>
    <border>
      <left/>
      <right/>
      <top style="thin">
        <color rgb="FF5B77CC"/>
      </top>
      <bottom/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/>
      <right style="thin">
        <color rgb="FF4586BB"/>
      </right>
      <top style="thin">
        <color rgb="FF5B77CC"/>
      </top>
      <bottom/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/>
      <top/>
      <bottom style="dotted">
        <color rgb="FF009966"/>
      </bottom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/>
      <right style="thin">
        <color rgb="FF002F6C"/>
      </right>
      <top/>
      <bottom/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4586BB"/>
      </bottom>
      <diagonal/>
    </border>
    <border>
      <left/>
      <right style="thin">
        <color indexed="64"/>
      </right>
      <top/>
      <bottom style="thin">
        <color rgb="FF4586BB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6">
    <xf numFmtId="0" fontId="0" fillId="0" borderId="0"/>
    <xf numFmtId="164" fontId="74" fillId="0" borderId="0" applyFont="0" applyFill="0" applyBorder="0" applyAlignment="0" applyProtection="0"/>
    <xf numFmtId="9" fontId="7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81" fillId="0" borderId="0"/>
    <xf numFmtId="165" fontId="76" fillId="0" borderId="51">
      <protection locked="0"/>
    </xf>
    <xf numFmtId="0" fontId="77" fillId="0" borderId="3" applyNumberFormat="0" applyFont="0" applyFill="0" applyAlignment="0" applyProtection="0"/>
    <xf numFmtId="0" fontId="78" fillId="0" borderId="0"/>
    <xf numFmtId="0" fontId="77" fillId="0" borderId="0" applyNumberFormat="0" applyFont="0" applyFill="0" applyBorder="0" applyProtection="0">
      <alignment horizontal="centerContinuous"/>
    </xf>
    <xf numFmtId="0" fontId="79" fillId="0" borderId="0"/>
    <xf numFmtId="0" fontId="77" fillId="0" borderId="52" applyNumberFormat="0" applyFont="0" applyFill="0" applyAlignment="0" applyProtection="0"/>
    <xf numFmtId="166" fontId="74" fillId="0" borderId="0" applyNumberFormat="0" applyFill="0" applyBorder="0" applyAlignment="0" applyProtection="0"/>
    <xf numFmtId="0" fontId="81" fillId="0" borderId="0"/>
    <xf numFmtId="0" fontId="77" fillId="0" borderId="53" applyNumberFormat="0" applyFont="0" applyFill="0" applyAlignment="0" applyProtection="0"/>
    <xf numFmtId="0" fontId="77" fillId="0" borderId="0" applyNumberFormat="0" applyFont="0" applyFill="0" applyBorder="0" applyProtection="0">
      <alignment horizontal="center"/>
    </xf>
    <xf numFmtId="44" fontId="81" fillId="0" borderId="0" applyFont="0" applyFill="0" applyBorder="0" applyAlignment="0" applyProtection="0"/>
  </cellStyleXfs>
  <cellXfs count="691">
    <xf numFmtId="0" fontId="0" fillId="0" borderId="0" xfId="0"/>
    <xf numFmtId="0" fontId="0" fillId="2" borderId="0" xfId="0" applyFill="1"/>
    <xf numFmtId="0" fontId="1" fillId="2" borderId="0" xfId="0" applyFont="1" applyFill="1"/>
    <xf numFmtId="167" fontId="0" fillId="2" borderId="0" xfId="0" applyNumberFormat="1" applyFill="1"/>
    <xf numFmtId="168" fontId="0" fillId="2" borderId="0" xfId="0" applyNumberFormat="1" applyFill="1"/>
    <xf numFmtId="169" fontId="0" fillId="2" borderId="0" xfId="0" applyNumberFormat="1" applyFill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0" borderId="0" xfId="0" applyFont="1"/>
    <xf numFmtId="0" fontId="8" fillId="0" borderId="0" xfId="0" applyFont="1" applyAlignment="1">
      <alignment horizontal="left"/>
    </xf>
    <xf numFmtId="0" fontId="1" fillId="0" borderId="2" xfId="0" applyFont="1" applyBorder="1"/>
    <xf numFmtId="0" fontId="7" fillId="0" borderId="0" xfId="0" applyFont="1"/>
    <xf numFmtId="0" fontId="2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9" fillId="0" borderId="1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0" borderId="0" xfId="0" applyFont="1"/>
    <xf numFmtId="170" fontId="1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/>
    <xf numFmtId="171" fontId="13" fillId="0" borderId="0" xfId="1" applyNumberFormat="1" applyFont="1" applyFill="1" applyBorder="1" applyProtection="1"/>
    <xf numFmtId="172" fontId="14" fillId="0" borderId="0" xfId="0" applyNumberFormat="1" applyFont="1"/>
    <xf numFmtId="171" fontId="7" fillId="0" borderId="0" xfId="1" applyNumberFormat="1" applyFont="1" applyFill="1" applyBorder="1" applyProtection="1"/>
    <xf numFmtId="171" fontId="1" fillId="0" borderId="0" xfId="1" applyNumberFormat="1" applyFont="1" applyFill="1" applyBorder="1" applyProtection="1"/>
    <xf numFmtId="173" fontId="16" fillId="0" borderId="2" xfId="1" applyNumberFormat="1" applyFont="1" applyFill="1" applyBorder="1" applyProtection="1"/>
    <xf numFmtId="173" fontId="16" fillId="0" borderId="0" xfId="1" applyNumberFormat="1" applyFont="1" applyFill="1" applyProtection="1"/>
    <xf numFmtId="171" fontId="13" fillId="0" borderId="0" xfId="1" applyNumberFormat="1" applyFont="1" applyFill="1" applyProtection="1"/>
    <xf numFmtId="0" fontId="15" fillId="0" borderId="0" xfId="0" applyFont="1"/>
    <xf numFmtId="171" fontId="17" fillId="0" borderId="0" xfId="1" applyNumberFormat="1" applyFont="1" applyFill="1" applyBorder="1" applyProtection="1"/>
    <xf numFmtId="173" fontId="1" fillId="0" borderId="0" xfId="1" applyNumberFormat="1" applyFont="1" applyFill="1" applyProtection="1"/>
    <xf numFmtId="174" fontId="0" fillId="0" borderId="0" xfId="0" applyNumberFormat="1"/>
    <xf numFmtId="0" fontId="12" fillId="0" borderId="2" xfId="0" applyFont="1" applyBorder="1"/>
    <xf numFmtId="175" fontId="0" fillId="0" borderId="0" xfId="1" applyNumberFormat="1" applyFont="1" applyFill="1" applyBorder="1" applyProtection="1"/>
    <xf numFmtId="176" fontId="1" fillId="0" borderId="0" xfId="1" applyNumberFormat="1" applyFont="1" applyFill="1" applyBorder="1" applyProtection="1"/>
    <xf numFmtId="0" fontId="2" fillId="0" borderId="3" xfId="0" applyFont="1" applyBorder="1"/>
    <xf numFmtId="0" fontId="12" fillId="0" borderId="5" xfId="0" applyFont="1" applyBorder="1"/>
    <xf numFmtId="0" fontId="10" fillId="0" borderId="5" xfId="0" applyFont="1" applyBorder="1"/>
    <xf numFmtId="177" fontId="0" fillId="0" borderId="5" xfId="0" applyNumberFormat="1" applyBorder="1"/>
    <xf numFmtId="0" fontId="10" fillId="0" borderId="2" xfId="0" applyFont="1" applyBorder="1"/>
    <xf numFmtId="172" fontId="0" fillId="0" borderId="2" xfId="0" applyNumberFormat="1" applyBorder="1" applyAlignment="1">
      <alignment horizontal="right"/>
    </xf>
    <xf numFmtId="177" fontId="7" fillId="0" borderId="0" xfId="1" applyNumberFormat="1" applyFont="1" applyBorder="1" applyProtection="1"/>
    <xf numFmtId="0" fontId="18" fillId="0" borderId="0" xfId="0" applyFont="1"/>
    <xf numFmtId="177" fontId="1" fillId="0" borderId="0" xfId="1" applyNumberFormat="1" applyFont="1" applyBorder="1" applyProtection="1"/>
    <xf numFmtId="37" fontId="0" fillId="0" borderId="0" xfId="1" applyNumberFormat="1" applyFont="1" applyBorder="1" applyProtection="1"/>
    <xf numFmtId="39" fontId="7" fillId="0" borderId="0" xfId="1" applyNumberFormat="1" applyFont="1" applyBorder="1" applyProtection="1"/>
    <xf numFmtId="177" fontId="0" fillId="0" borderId="0" xfId="1" applyNumberFormat="1" applyFont="1" applyBorder="1" applyProtection="1"/>
    <xf numFmtId="37" fontId="1" fillId="0" borderId="0" xfId="1" applyNumberFormat="1" applyFont="1" applyBorder="1" applyProtection="1"/>
    <xf numFmtId="176" fontId="1" fillId="0" borderId="0" xfId="1" applyNumberFormat="1" applyFont="1" applyBorder="1" applyProtection="1"/>
    <xf numFmtId="0" fontId="18" fillId="0" borderId="2" xfId="0" applyFont="1" applyBorder="1"/>
    <xf numFmtId="37" fontId="1" fillId="0" borderId="2" xfId="1" applyNumberFormat="1" applyFont="1" applyBorder="1" applyProtection="1"/>
    <xf numFmtId="0" fontId="8" fillId="0" borderId="3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172" fontId="0" fillId="0" borderId="0" xfId="0" applyNumberFormat="1"/>
    <xf numFmtId="171" fontId="19" fillId="3" borderId="0" xfId="1" applyNumberFormat="1" applyFont="1" applyFill="1" applyProtection="1"/>
    <xf numFmtId="172" fontId="20" fillId="0" borderId="0" xfId="0" applyNumberFormat="1" applyFont="1"/>
    <xf numFmtId="172" fontId="21" fillId="3" borderId="0" xfId="0" applyNumberFormat="1" applyFont="1" applyFill="1"/>
    <xf numFmtId="171" fontId="7" fillId="0" borderId="3" xfId="1" applyNumberFormat="1" applyFont="1" applyFill="1" applyBorder="1" applyProtection="1"/>
    <xf numFmtId="171" fontId="0" fillId="3" borderId="3" xfId="1" applyNumberFormat="1" applyFont="1" applyFill="1" applyBorder="1" applyProtection="1"/>
    <xf numFmtId="171" fontId="1" fillId="0" borderId="0" xfId="1" applyNumberFormat="1" applyFont="1" applyFill="1" applyProtection="1"/>
    <xf numFmtId="171" fontId="1" fillId="3" borderId="0" xfId="1" applyNumberFormat="1" applyFont="1" applyFill="1" applyProtection="1"/>
    <xf numFmtId="173" fontId="1" fillId="0" borderId="2" xfId="1" applyNumberFormat="1" applyFont="1" applyFill="1" applyBorder="1" applyProtection="1"/>
    <xf numFmtId="171" fontId="0" fillId="0" borderId="0" xfId="1" applyNumberFormat="1" applyFont="1" applyFill="1" applyProtection="1"/>
    <xf numFmtId="172" fontId="20" fillId="0" borderId="3" xfId="0" applyNumberFormat="1" applyFont="1" applyBorder="1"/>
    <xf numFmtId="172" fontId="21" fillId="3" borderId="3" xfId="0" applyNumberFormat="1" applyFont="1" applyFill="1" applyBorder="1"/>
    <xf numFmtId="174" fontId="0" fillId="3" borderId="0" xfId="0" applyNumberFormat="1" applyFill="1"/>
    <xf numFmtId="175" fontId="0" fillId="0" borderId="0" xfId="1" applyNumberFormat="1" applyFont="1" applyFill="1" applyProtection="1"/>
    <xf numFmtId="175" fontId="0" fillId="3" borderId="0" xfId="1" applyNumberFormat="1" applyFont="1" applyFill="1" applyProtection="1"/>
    <xf numFmtId="176" fontId="1" fillId="0" borderId="7" xfId="1" applyNumberFormat="1" applyFont="1" applyFill="1" applyBorder="1" applyProtection="1"/>
    <xf numFmtId="176" fontId="1" fillId="3" borderId="7" xfId="1" applyNumberFormat="1" applyFont="1" applyFill="1" applyBorder="1" applyProtection="1"/>
    <xf numFmtId="0" fontId="1" fillId="0" borderId="0" xfId="0" applyFont="1" applyAlignment="1">
      <alignment horizontal="right"/>
    </xf>
    <xf numFmtId="174" fontId="0" fillId="0" borderId="2" xfId="0" applyNumberFormat="1" applyBorder="1" applyAlignment="1">
      <alignment horizontal="right"/>
    </xf>
    <xf numFmtId="177" fontId="19" fillId="3" borderId="0" xfId="1" applyNumberFormat="1" applyFont="1" applyFill="1" applyBorder="1" applyProtection="1"/>
    <xf numFmtId="177" fontId="0" fillId="3" borderId="0" xfId="1" applyNumberFormat="1" applyFont="1" applyFill="1" applyBorder="1" applyProtection="1"/>
    <xf numFmtId="177" fontId="19" fillId="3" borderId="3" xfId="1" applyNumberFormat="1" applyFont="1" applyFill="1" applyBorder="1" applyProtection="1"/>
    <xf numFmtId="177" fontId="0" fillId="3" borderId="3" xfId="1" applyNumberFormat="1" applyFont="1" applyFill="1" applyBorder="1" applyProtection="1"/>
    <xf numFmtId="177" fontId="1" fillId="3" borderId="0" xfId="1" applyNumberFormat="1" applyFont="1" applyFill="1" applyBorder="1" applyProtection="1"/>
    <xf numFmtId="39" fontId="0" fillId="0" borderId="0" xfId="1" applyNumberFormat="1" applyFont="1" applyBorder="1" applyProtection="1"/>
    <xf numFmtId="176" fontId="1" fillId="3" borderId="8" xfId="1" applyNumberFormat="1" applyFont="1" applyFill="1" applyBorder="1" applyProtection="1"/>
    <xf numFmtId="0" fontId="15" fillId="3" borderId="0" xfId="12" applyFont="1" applyFill="1" applyAlignment="1">
      <alignment horizontal="right" vertical="center"/>
    </xf>
    <xf numFmtId="0" fontId="15" fillId="0" borderId="0" xfId="0" applyFont="1" applyAlignment="1">
      <alignment horizontal="right" vertical="center"/>
    </xf>
    <xf numFmtId="177" fontId="0" fillId="0" borderId="9" xfId="0" applyNumberFormat="1" applyBorder="1"/>
    <xf numFmtId="174" fontId="0" fillId="0" borderId="10" xfId="0" applyNumberFormat="1" applyBorder="1" applyAlignment="1">
      <alignment horizontal="right"/>
    </xf>
    <xf numFmtId="37" fontId="0" fillId="0" borderId="0" xfId="0" applyNumberFormat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20" fillId="0" borderId="0" xfId="0" applyFont="1"/>
    <xf numFmtId="0" fontId="0" fillId="0" borderId="11" xfId="0" applyBorder="1"/>
    <xf numFmtId="0" fontId="0" fillId="0" borderId="12" xfId="0" applyBorder="1"/>
    <xf numFmtId="178" fontId="1" fillId="0" borderId="0" xfId="0" applyNumberFormat="1" applyFont="1" applyAlignment="1">
      <alignment horizontal="left"/>
    </xf>
    <xf numFmtId="0" fontId="1" fillId="0" borderId="13" xfId="0" applyFont="1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22" fillId="0" borderId="7" xfId="0" applyFont="1" applyBorder="1"/>
    <xf numFmtId="0" fontId="20" fillId="0" borderId="0" xfId="0" applyFont="1" applyAlignment="1">
      <alignment horizontal="left"/>
    </xf>
    <xf numFmtId="0" fontId="18" fillId="0" borderId="3" xfId="0" applyFont="1" applyBorder="1"/>
    <xf numFmtId="37" fontId="1" fillId="0" borderId="3" xfId="1" applyNumberFormat="1" applyFont="1" applyBorder="1" applyProtection="1"/>
    <xf numFmtId="173" fontId="0" fillId="0" borderId="0" xfId="1" applyNumberFormat="1" applyFont="1" applyBorder="1" applyProtection="1"/>
    <xf numFmtId="0" fontId="10" fillId="0" borderId="12" xfId="0" applyFont="1" applyBorder="1"/>
    <xf numFmtId="177" fontId="0" fillId="0" borderId="12" xfId="1" applyNumberFormat="1" applyFont="1" applyBorder="1" applyAlignment="1" applyProtection="1">
      <alignment horizontal="right"/>
    </xf>
    <xf numFmtId="177" fontId="7" fillId="0" borderId="3" xfId="1" applyNumberFormat="1" applyFont="1" applyBorder="1" applyProtection="1"/>
    <xf numFmtId="177" fontId="1" fillId="0" borderId="0" xfId="1" applyNumberFormat="1" applyFont="1" applyBorder="1" applyAlignment="1" applyProtection="1">
      <alignment horizontal="right"/>
    </xf>
    <xf numFmtId="37" fontId="10" fillId="0" borderId="0" xfId="0" applyNumberFormat="1" applyFont="1"/>
    <xf numFmtId="177" fontId="7" fillId="0" borderId="0" xfId="1" applyNumberFormat="1" applyFont="1" applyFill="1" applyBorder="1" applyAlignment="1" applyProtection="1">
      <alignment horizontal="right"/>
      <protection locked="0"/>
    </xf>
    <xf numFmtId="177" fontId="7" fillId="0" borderId="3" xfId="1" applyNumberFormat="1" applyFont="1" applyBorder="1" applyAlignment="1" applyProtection="1">
      <alignment horizontal="right"/>
    </xf>
    <xf numFmtId="37" fontId="1" fillId="0" borderId="0" xfId="1" applyNumberFormat="1" applyFont="1" applyBorder="1" applyAlignment="1" applyProtection="1">
      <alignment horizontal="right"/>
    </xf>
    <xf numFmtId="177" fontId="7" fillId="0" borderId="3" xfId="1" applyNumberFormat="1" applyFont="1" applyFill="1" applyBorder="1" applyAlignment="1" applyProtection="1">
      <alignment horizontal="right"/>
    </xf>
    <xf numFmtId="177" fontId="1" fillId="0" borderId="0" xfId="1" applyNumberFormat="1" applyFont="1" applyFill="1" applyBorder="1" applyProtection="1"/>
    <xf numFmtId="177" fontId="7" fillId="0" borderId="3" xfId="1" applyNumberFormat="1" applyFont="1" applyFill="1" applyBorder="1" applyProtection="1">
      <protection locked="0"/>
    </xf>
    <xf numFmtId="177" fontId="7" fillId="0" borderId="3" xfId="1" applyNumberFormat="1" applyFont="1" applyFill="1" applyBorder="1" applyProtection="1"/>
    <xf numFmtId="39" fontId="1" fillId="0" borderId="0" xfId="1" applyNumberFormat="1" applyFont="1" applyBorder="1" applyProtection="1"/>
    <xf numFmtId="177" fontId="0" fillId="0" borderId="0" xfId="0" applyNumberFormat="1"/>
    <xf numFmtId="176" fontId="1" fillId="0" borderId="8" xfId="0" applyNumberFormat="1" applyFont="1" applyBorder="1"/>
    <xf numFmtId="176" fontId="1" fillId="0" borderId="0" xfId="0" applyNumberFormat="1" applyFont="1"/>
    <xf numFmtId="0" fontId="2" fillId="0" borderId="7" xfId="0" applyFont="1" applyBorder="1"/>
    <xf numFmtId="173" fontId="0" fillId="0" borderId="7" xfId="1" applyNumberFormat="1" applyFont="1" applyBorder="1" applyProtection="1"/>
    <xf numFmtId="179" fontId="20" fillId="0" borderId="0" xfId="0" applyNumberFormat="1" applyFont="1"/>
    <xf numFmtId="180" fontId="20" fillId="0" borderId="3" xfId="0" applyNumberFormat="1" applyFont="1" applyBorder="1"/>
    <xf numFmtId="164" fontId="20" fillId="0" borderId="0" xfId="1" applyFont="1" applyBorder="1" applyProtection="1"/>
    <xf numFmtId="0" fontId="0" fillId="0" borderId="0" xfId="0" applyAlignment="1">
      <alignment horizontal="right"/>
    </xf>
    <xf numFmtId="170" fontId="10" fillId="0" borderId="0" xfId="0" applyNumberFormat="1" applyFont="1" applyAlignment="1">
      <alignment horizontal="right"/>
    </xf>
    <xf numFmtId="37" fontId="0" fillId="0" borderId="0" xfId="1" applyNumberFormat="1" applyFont="1" applyProtection="1"/>
    <xf numFmtId="177" fontId="13" fillId="0" borderId="0" xfId="1" applyNumberFormat="1" applyFont="1" applyFill="1" applyProtection="1">
      <protection locked="0"/>
    </xf>
    <xf numFmtId="37" fontId="0" fillId="0" borderId="0" xfId="1" applyNumberFormat="1" applyFont="1" applyFill="1" applyProtection="1"/>
    <xf numFmtId="37" fontId="7" fillId="0" borderId="0" xfId="1" applyNumberFormat="1" applyFont="1" applyBorder="1" applyProtection="1"/>
    <xf numFmtId="177" fontId="13" fillId="0" borderId="3" xfId="1" applyNumberFormat="1" applyFont="1" applyFill="1" applyBorder="1" applyAlignment="1" applyProtection="1">
      <alignment horizontal="right"/>
      <protection locked="0"/>
    </xf>
    <xf numFmtId="177" fontId="1" fillId="0" borderId="0" xfId="1" applyNumberFormat="1" applyFont="1" applyProtection="1"/>
    <xf numFmtId="173" fontId="0" fillId="0" borderId="0" xfId="1" applyNumberFormat="1" applyFont="1" applyProtection="1"/>
    <xf numFmtId="173" fontId="0" fillId="0" borderId="0" xfId="1" applyNumberFormat="1" applyFont="1" applyFill="1" applyBorder="1" applyProtection="1"/>
    <xf numFmtId="37" fontId="7" fillId="0" borderId="0" xfId="1" applyNumberFormat="1" applyFont="1" applyFill="1" applyProtection="1"/>
    <xf numFmtId="181" fontId="7" fillId="0" borderId="0" xfId="0" applyNumberFormat="1" applyFont="1"/>
    <xf numFmtId="177" fontId="0" fillId="3" borderId="12" xfId="1" applyNumberFormat="1" applyFont="1" applyFill="1" applyBorder="1" applyAlignment="1" applyProtection="1">
      <alignment horizontal="right"/>
    </xf>
    <xf numFmtId="177" fontId="0" fillId="3" borderId="0" xfId="1" applyNumberFormat="1" applyFont="1" applyFill="1" applyBorder="1" applyAlignment="1" applyProtection="1">
      <alignment horizontal="right"/>
    </xf>
    <xf numFmtId="177" fontId="0" fillId="3" borderId="3" xfId="1" applyNumberFormat="1" applyFont="1" applyFill="1" applyBorder="1" applyAlignment="1" applyProtection="1">
      <alignment horizontal="right"/>
    </xf>
    <xf numFmtId="177" fontId="1" fillId="3" borderId="0" xfId="1" applyNumberFormat="1" applyFont="1" applyFill="1" applyBorder="1" applyAlignment="1" applyProtection="1">
      <alignment horizontal="right"/>
    </xf>
    <xf numFmtId="37" fontId="7" fillId="0" borderId="0" xfId="0" applyNumberFormat="1" applyFont="1"/>
    <xf numFmtId="177" fontId="19" fillId="3" borderId="3" xfId="1" applyNumberFormat="1" applyFont="1" applyFill="1" applyBorder="1" applyAlignment="1" applyProtection="1">
      <alignment horizontal="right"/>
    </xf>
    <xf numFmtId="182" fontId="0" fillId="0" borderId="0" xfId="1" applyNumberFormat="1" applyFont="1" applyBorder="1" applyProtection="1"/>
    <xf numFmtId="177" fontId="0" fillId="3" borderId="0" xfId="0" applyNumberFormat="1" applyFill="1"/>
    <xf numFmtId="176" fontId="1" fillId="3" borderId="8" xfId="0" applyNumberFormat="1" applyFont="1" applyFill="1" applyBorder="1"/>
    <xf numFmtId="164" fontId="0" fillId="0" borderId="0" xfId="1" applyFont="1" applyBorder="1" applyProtection="1"/>
    <xf numFmtId="179" fontId="20" fillId="3" borderId="0" xfId="0" applyNumberFormat="1" applyFont="1" applyFill="1"/>
    <xf numFmtId="179" fontId="20" fillId="0" borderId="3" xfId="0" applyNumberFormat="1" applyFont="1" applyBorder="1"/>
    <xf numFmtId="179" fontId="20" fillId="3" borderId="3" xfId="0" applyNumberFormat="1" applyFont="1" applyFill="1" applyBorder="1"/>
    <xf numFmtId="177" fontId="0" fillId="3" borderId="0" xfId="1" applyNumberFormat="1" applyFont="1" applyFill="1" applyProtection="1"/>
    <xf numFmtId="177" fontId="7" fillId="0" borderId="3" xfId="1" applyNumberFormat="1" applyFont="1" applyFill="1" applyBorder="1" applyAlignment="1" applyProtection="1">
      <alignment horizontal="right"/>
      <protection locked="0"/>
    </xf>
    <xf numFmtId="177" fontId="1" fillId="3" borderId="0" xfId="1" applyNumberFormat="1" applyFont="1" applyFill="1" applyProtection="1"/>
    <xf numFmtId="172" fontId="7" fillId="0" borderId="0" xfId="0" applyNumberFormat="1" applyFont="1"/>
    <xf numFmtId="177" fontId="0" fillId="3" borderId="16" xfId="1" applyNumberFormat="1" applyFont="1" applyFill="1" applyBorder="1" applyAlignment="1" applyProtection="1">
      <alignment horizontal="right"/>
    </xf>
    <xf numFmtId="173" fontId="0" fillId="0" borderId="17" xfId="1" applyNumberFormat="1" applyFont="1" applyBorder="1" applyProtection="1"/>
    <xf numFmtId="179" fontId="20" fillId="3" borderId="18" xfId="0" applyNumberFormat="1" applyFont="1" applyFill="1" applyBorder="1"/>
    <xf numFmtId="9" fontId="1" fillId="0" borderId="0" xfId="0" applyNumberFormat="1" applyFont="1"/>
    <xf numFmtId="179" fontId="20" fillId="3" borderId="19" xfId="0" applyNumberFormat="1" applyFont="1" applyFill="1" applyBorder="1"/>
    <xf numFmtId="0" fontId="0" fillId="0" borderId="13" xfId="0" applyBorder="1"/>
    <xf numFmtId="0" fontId="1" fillId="0" borderId="7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20" fillId="0" borderId="3" xfId="0" applyFont="1" applyBorder="1" applyAlignment="1">
      <alignment horizontal="left"/>
    </xf>
    <xf numFmtId="0" fontId="23" fillId="0" borderId="0" xfId="0" applyFont="1" applyAlignment="1">
      <alignment horizontal="centerContinuous"/>
    </xf>
    <xf numFmtId="0" fontId="24" fillId="0" borderId="0" xfId="0" applyFont="1" applyAlignment="1">
      <alignment horizontal="centerContinuous"/>
    </xf>
    <xf numFmtId="177" fontId="7" fillId="0" borderId="0" xfId="1" applyNumberFormat="1" applyFont="1" applyFill="1" applyProtection="1">
      <protection locked="0"/>
    </xf>
    <xf numFmtId="177" fontId="1" fillId="0" borderId="7" xfId="1" applyNumberFormat="1" applyFont="1" applyBorder="1" applyProtection="1"/>
    <xf numFmtId="181" fontId="1" fillId="0" borderId="0" xfId="1" applyNumberFormat="1" applyFont="1" applyProtection="1"/>
    <xf numFmtId="37" fontId="1" fillId="0" borderId="0" xfId="1" applyNumberFormat="1" applyFont="1" applyProtection="1"/>
    <xf numFmtId="37" fontId="1" fillId="0" borderId="7" xfId="1" applyNumberFormat="1" applyFont="1" applyBorder="1" applyProtection="1"/>
    <xf numFmtId="177" fontId="0" fillId="0" borderId="7" xfId="1" applyNumberFormat="1" applyFont="1" applyBorder="1" applyProtection="1"/>
    <xf numFmtId="177" fontId="25" fillId="0" borderId="0" xfId="1" applyNumberFormat="1" applyFont="1" applyBorder="1" applyProtection="1"/>
    <xf numFmtId="183" fontId="0" fillId="0" borderId="3" xfId="1" applyNumberFormat="1" applyFont="1" applyBorder="1" applyProtection="1"/>
    <xf numFmtId="0" fontId="8" fillId="0" borderId="0" xfId="0" applyFont="1" applyAlignment="1">
      <alignment horizontal="centerContinuous"/>
    </xf>
    <xf numFmtId="0" fontId="10" fillId="0" borderId="0" xfId="0" applyFont="1" applyAlignment="1">
      <alignment horizontal="right"/>
    </xf>
    <xf numFmtId="37" fontId="7" fillId="0" borderId="0" xfId="1" applyNumberFormat="1" applyFont="1" applyFill="1" applyBorder="1" applyProtection="1"/>
    <xf numFmtId="177" fontId="0" fillId="0" borderId="0" xfId="1" applyNumberFormat="1" applyFont="1" applyProtection="1"/>
    <xf numFmtId="177" fontId="0" fillId="0" borderId="0" xfId="1" applyNumberFormat="1" applyFont="1" applyFill="1" applyProtection="1">
      <protection locked="0"/>
    </xf>
    <xf numFmtId="176" fontId="1" fillId="0" borderId="8" xfId="1" applyNumberFormat="1" applyFont="1" applyBorder="1" applyProtection="1"/>
    <xf numFmtId="177" fontId="13" fillId="0" borderId="0" xfId="1" applyNumberFormat="1" applyFont="1" applyFill="1" applyBorder="1" applyProtection="1">
      <protection locked="0"/>
    </xf>
    <xf numFmtId="177" fontId="7" fillId="0" borderId="0" xfId="1" applyNumberFormat="1" applyFont="1" applyFill="1" applyBorder="1" applyProtection="1">
      <protection locked="0"/>
    </xf>
    <xf numFmtId="184" fontId="26" fillId="0" borderId="0" xfId="1" applyNumberFormat="1" applyFont="1" applyBorder="1" applyProtection="1"/>
    <xf numFmtId="37" fontId="0" fillId="0" borderId="0" xfId="1" applyNumberFormat="1" applyFont="1" applyFill="1" applyBorder="1" applyProtection="1"/>
    <xf numFmtId="171" fontId="0" fillId="0" borderId="0" xfId="1" applyNumberFormat="1" applyFont="1" applyBorder="1" applyProtection="1"/>
    <xf numFmtId="171" fontId="0" fillId="0" borderId="0" xfId="1" applyNumberFormat="1" applyFont="1" applyProtection="1"/>
    <xf numFmtId="185" fontId="20" fillId="0" borderId="0" xfId="1" applyNumberFormat="1" applyFont="1" applyBorder="1" applyProtection="1"/>
    <xf numFmtId="185" fontId="20" fillId="0" borderId="0" xfId="1" applyNumberFormat="1" applyFont="1" applyProtection="1"/>
    <xf numFmtId="0" fontId="27" fillId="0" borderId="0" xfId="0" applyFont="1" applyAlignment="1">
      <alignment horizontal="centerContinuous"/>
    </xf>
    <xf numFmtId="0" fontId="28" fillId="0" borderId="0" xfId="0" applyFont="1" applyAlignment="1">
      <alignment horizontal="centerContinuous"/>
    </xf>
    <xf numFmtId="177" fontId="1" fillId="3" borderId="7" xfId="1" applyNumberFormat="1" applyFont="1" applyFill="1" applyBorder="1" applyProtection="1"/>
    <xf numFmtId="186" fontId="1" fillId="0" borderId="0" xfId="1" applyNumberFormat="1" applyFont="1" applyProtection="1"/>
    <xf numFmtId="181" fontId="29" fillId="0" borderId="0" xfId="1" applyNumberFormat="1" applyFont="1" applyProtection="1"/>
    <xf numFmtId="184" fontId="1" fillId="0" borderId="0" xfId="1" applyNumberFormat="1" applyFont="1" applyProtection="1"/>
    <xf numFmtId="177" fontId="0" fillId="3" borderId="7" xfId="1" applyNumberFormat="1" applyFont="1" applyFill="1" applyBorder="1" applyProtection="1"/>
    <xf numFmtId="177" fontId="30" fillId="0" borderId="0" xfId="1" applyNumberFormat="1" applyFont="1" applyBorder="1" applyProtection="1"/>
    <xf numFmtId="177" fontId="30" fillId="3" borderId="0" xfId="1" applyNumberFormat="1" applyFont="1" applyFill="1" applyBorder="1" applyProtection="1"/>
    <xf numFmtId="183" fontId="0" fillId="3" borderId="3" xfId="1" applyNumberFormat="1" applyFont="1" applyFill="1" applyBorder="1" applyProtection="1"/>
    <xf numFmtId="183" fontId="0" fillId="3" borderId="0" xfId="1" applyNumberFormat="1" applyFont="1" applyFill="1" applyBorder="1" applyProtection="1"/>
    <xf numFmtId="184" fontId="0" fillId="0" borderId="0" xfId="1" applyNumberFormat="1" applyFont="1" applyProtection="1"/>
    <xf numFmtId="177" fontId="0" fillId="3" borderId="0" xfId="1" applyNumberFormat="1" applyFont="1" applyFill="1" applyProtection="1">
      <protection locked="0"/>
    </xf>
    <xf numFmtId="177" fontId="0" fillId="0" borderId="0" xfId="1" applyNumberFormat="1" applyFont="1" applyFill="1" applyProtection="1"/>
    <xf numFmtId="185" fontId="0" fillId="0" borderId="3" xfId="0" applyNumberFormat="1" applyBorder="1"/>
    <xf numFmtId="177" fontId="0" fillId="3" borderId="17" xfId="1" applyNumberFormat="1" applyFont="1" applyFill="1" applyBorder="1" applyProtection="1"/>
    <xf numFmtId="177" fontId="30" fillId="3" borderId="18" xfId="1" applyNumberFormat="1" applyFont="1" applyFill="1" applyBorder="1" applyProtection="1"/>
    <xf numFmtId="183" fontId="0" fillId="3" borderId="19" xfId="1" applyNumberFormat="1" applyFont="1" applyFill="1" applyBorder="1" applyProtection="1"/>
    <xf numFmtId="0" fontId="31" fillId="0" borderId="0" xfId="0" applyFont="1"/>
    <xf numFmtId="0" fontId="31" fillId="0" borderId="13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2" fillId="0" borderId="0" xfId="0" applyFont="1" applyAlignment="1">
      <alignment horizontal="right"/>
    </xf>
    <xf numFmtId="187" fontId="0" fillId="0" borderId="0" xfId="0" applyNumberFormat="1"/>
    <xf numFmtId="0" fontId="33" fillId="0" borderId="0" xfId="0" applyFont="1" applyAlignment="1">
      <alignment vertical="center"/>
    </xf>
    <xf numFmtId="0" fontId="32" fillId="0" borderId="0" xfId="0" applyFont="1"/>
    <xf numFmtId="0" fontId="1" fillId="0" borderId="20" xfId="0" applyFont="1" applyBorder="1"/>
    <xf numFmtId="0" fontId="0" fillId="0" borderId="21" xfId="0" applyBorder="1"/>
    <xf numFmtId="0" fontId="0" fillId="0" borderId="14" xfId="0" applyBorder="1" applyAlignment="1">
      <alignment horizontal="left"/>
    </xf>
    <xf numFmtId="0" fontId="1" fillId="0" borderId="15" xfId="0" applyFont="1" applyBorder="1"/>
    <xf numFmtId="0" fontId="34" fillId="0" borderId="0" xfId="0" applyFont="1"/>
    <xf numFmtId="4" fontId="1" fillId="0" borderId="0" xfId="0" applyNumberFormat="1" applyFont="1"/>
    <xf numFmtId="4" fontId="0" fillId="0" borderId="0" xfId="1" applyNumberFormat="1" applyFont="1" applyFill="1" applyBorder="1" applyProtection="1"/>
    <xf numFmtId="4" fontId="0" fillId="0" borderId="0" xfId="0" applyNumberFormat="1"/>
    <xf numFmtId="4" fontId="0" fillId="0" borderId="0" xfId="1" applyNumberFormat="1" applyFont="1" applyFill="1" applyBorder="1" applyAlignment="1" applyProtection="1">
      <alignment horizontal="left"/>
    </xf>
    <xf numFmtId="0" fontId="18" fillId="0" borderId="0" xfId="0" applyFont="1" applyAlignment="1">
      <alignment horizontal="centerContinuous"/>
    </xf>
    <xf numFmtId="0" fontId="35" fillId="0" borderId="0" xfId="0" applyFont="1" applyAlignment="1">
      <alignment horizontal="right"/>
    </xf>
    <xf numFmtId="187" fontId="19" fillId="3" borderId="17" xfId="0" applyNumberFormat="1" applyFont="1" applyFill="1" applyBorder="1" applyAlignment="1">
      <alignment vertical="center"/>
    </xf>
    <xf numFmtId="0" fontId="31" fillId="0" borderId="3" xfId="0" applyFont="1" applyBorder="1" applyAlignment="1">
      <alignment vertical="center"/>
    </xf>
    <xf numFmtId="187" fontId="19" fillId="3" borderId="19" xfId="0" applyNumberFormat="1" applyFont="1" applyFill="1" applyBorder="1" applyAlignment="1">
      <alignment vertical="center"/>
    </xf>
    <xf numFmtId="176" fontId="7" fillId="0" borderId="0" xfId="0" applyNumberFormat="1" applyFont="1"/>
    <xf numFmtId="176" fontId="0" fillId="3" borderId="22" xfId="0" applyNumberFormat="1" applyFill="1" applyBorder="1"/>
    <xf numFmtId="176" fontId="0" fillId="0" borderId="14" xfId="0" applyNumberFormat="1" applyBorder="1"/>
    <xf numFmtId="37" fontId="31" fillId="0" borderId="0" xfId="0" applyNumberFormat="1" applyFont="1"/>
    <xf numFmtId="176" fontId="0" fillId="3" borderId="23" xfId="0" applyNumberFormat="1" applyFill="1" applyBorder="1"/>
    <xf numFmtId="176" fontId="0" fillId="3" borderId="24" xfId="0" applyNumberFormat="1" applyFill="1" applyBorder="1"/>
    <xf numFmtId="176" fontId="1" fillId="0" borderId="8" xfId="0" applyNumberFormat="1" applyFont="1" applyBorder="1" applyAlignment="1">
      <alignment vertical="center"/>
    </xf>
    <xf numFmtId="37" fontId="0" fillId="0" borderId="3" xfId="1" applyNumberFormat="1" applyFont="1" applyBorder="1" applyProtection="1"/>
    <xf numFmtId="172" fontId="36" fillId="3" borderId="25" xfId="0" applyNumberFormat="1" applyFont="1" applyFill="1" applyBorder="1"/>
    <xf numFmtId="172" fontId="36" fillId="0" borderId="0" xfId="0" applyNumberFormat="1" applyFont="1"/>
    <xf numFmtId="37" fontId="37" fillId="0" borderId="0" xfId="0" applyNumberFormat="1" applyFont="1"/>
    <xf numFmtId="37" fontId="38" fillId="0" borderId="0" xfId="0" applyNumberFormat="1" applyFont="1"/>
    <xf numFmtId="172" fontId="39" fillId="0" borderId="0" xfId="0" applyNumberFormat="1" applyFont="1"/>
    <xf numFmtId="37" fontId="38" fillId="0" borderId="7" xfId="0" applyNumberFormat="1" applyFont="1" applyBorder="1"/>
    <xf numFmtId="37" fontId="7" fillId="0" borderId="7" xfId="0" applyNumberFormat="1" applyFont="1" applyBorder="1"/>
    <xf numFmtId="37" fontId="40" fillId="0" borderId="0" xfId="0" applyNumberFormat="1" applyFont="1"/>
    <xf numFmtId="37" fontId="27" fillId="0" borderId="3" xfId="0" applyNumberFormat="1" applyFont="1" applyBorder="1"/>
    <xf numFmtId="37" fontId="40" fillId="0" borderId="3" xfId="0" applyNumberFormat="1" applyFont="1" applyBorder="1"/>
    <xf numFmtId="37" fontId="33" fillId="0" borderId="3" xfId="0" applyNumberFormat="1" applyFont="1" applyBorder="1"/>
    <xf numFmtId="37" fontId="38" fillId="0" borderId="3" xfId="0" applyNumberFormat="1" applyFont="1" applyBorder="1"/>
    <xf numFmtId="37" fontId="7" fillId="0" borderId="3" xfId="0" applyNumberFormat="1" applyFont="1" applyBorder="1"/>
    <xf numFmtId="0" fontId="12" fillId="0" borderId="12" xfId="0" applyFont="1" applyBorder="1"/>
    <xf numFmtId="164" fontId="31" fillId="0" borderId="0" xfId="1" applyFont="1" applyProtection="1"/>
    <xf numFmtId="187" fontId="7" fillId="0" borderId="0" xfId="1" applyNumberFormat="1" applyFont="1" applyProtection="1"/>
    <xf numFmtId="164" fontId="31" fillId="0" borderId="0" xfId="1" applyFont="1" applyFill="1" applyProtection="1"/>
    <xf numFmtId="187" fontId="7" fillId="0" borderId="0" xfId="1" applyNumberFormat="1" applyFont="1" applyFill="1" applyProtection="1"/>
    <xf numFmtId="0" fontId="1" fillId="0" borderId="3" xfId="0" applyFont="1" applyBorder="1" applyAlignment="1">
      <alignment horizontal="centerContinuous"/>
    </xf>
    <xf numFmtId="0" fontId="1" fillId="0" borderId="7" xfId="0" applyFont="1" applyBorder="1" applyAlignment="1">
      <alignment horizontal="right"/>
    </xf>
    <xf numFmtId="188" fontId="41" fillId="0" borderId="0" xfId="0" applyNumberFormat="1" applyFont="1"/>
    <xf numFmtId="189" fontId="0" fillId="0" borderId="0" xfId="0" applyNumberFormat="1"/>
    <xf numFmtId="176" fontId="0" fillId="3" borderId="0" xfId="0" applyNumberFormat="1" applyFill="1"/>
    <xf numFmtId="176" fontId="0" fillId="0" borderId="0" xfId="0" applyNumberFormat="1"/>
    <xf numFmtId="177" fontId="31" fillId="3" borderId="0" xfId="0" applyNumberFormat="1" applyFont="1" applyFill="1"/>
    <xf numFmtId="177" fontId="31" fillId="0" borderId="0" xfId="0" applyNumberFormat="1" applyFont="1"/>
    <xf numFmtId="176" fontId="1" fillId="3" borderId="8" xfId="0" applyNumberFormat="1" applyFont="1" applyFill="1" applyBorder="1" applyAlignment="1">
      <alignment vertical="center"/>
    </xf>
    <xf numFmtId="176" fontId="33" fillId="3" borderId="0" xfId="0" applyNumberFormat="1" applyFont="1" applyFill="1"/>
    <xf numFmtId="175" fontId="19" fillId="3" borderId="3" xfId="1" applyNumberFormat="1" applyFont="1" applyFill="1" applyBorder="1" applyProtection="1"/>
    <xf numFmtId="37" fontId="33" fillId="0" borderId="0" xfId="0" applyNumberFormat="1" applyFont="1"/>
    <xf numFmtId="177" fontId="31" fillId="3" borderId="3" xfId="0" applyNumberFormat="1" applyFont="1" applyFill="1" applyBorder="1"/>
    <xf numFmtId="177" fontId="33" fillId="3" borderId="3" xfId="0" applyNumberFormat="1" applyFont="1" applyFill="1" applyBorder="1"/>
    <xf numFmtId="187" fontId="0" fillId="3" borderId="12" xfId="0" applyNumberFormat="1" applyFill="1" applyBorder="1"/>
    <xf numFmtId="175" fontId="19" fillId="3" borderId="0" xfId="1" applyNumberFormat="1" applyFont="1" applyFill="1" applyProtection="1"/>
    <xf numFmtId="0" fontId="42" fillId="0" borderId="0" xfId="0" applyFont="1"/>
    <xf numFmtId="37" fontId="7" fillId="0" borderId="17" xfId="0" applyNumberFormat="1" applyFont="1" applyBorder="1"/>
    <xf numFmtId="177" fontId="31" fillId="3" borderId="18" xfId="0" applyNumberFormat="1" applyFont="1" applyFill="1" applyBorder="1"/>
    <xf numFmtId="177" fontId="31" fillId="3" borderId="19" xfId="0" applyNumberFormat="1" applyFont="1" applyFill="1" applyBorder="1"/>
    <xf numFmtId="177" fontId="33" fillId="3" borderId="19" xfId="0" applyNumberFormat="1" applyFont="1" applyFill="1" applyBorder="1"/>
    <xf numFmtId="187" fontId="0" fillId="3" borderId="16" xfId="0" applyNumberFormat="1" applyFill="1" applyBorder="1"/>
    <xf numFmtId="4" fontId="1" fillId="0" borderId="0" xfId="1" applyNumberFormat="1" applyFont="1" applyFill="1" applyBorder="1" applyProtection="1"/>
    <xf numFmtId="171" fontId="0" fillId="0" borderId="3" xfId="1" applyNumberFormat="1" applyFont="1" applyBorder="1" applyProtection="1"/>
    <xf numFmtId="181" fontId="1" fillId="0" borderId="0" xfId="0" applyNumberFormat="1" applyFont="1"/>
    <xf numFmtId="175" fontId="0" fillId="3" borderId="0" xfId="1" applyNumberFormat="1" applyFont="1" applyFill="1" applyBorder="1" applyProtection="1"/>
    <xf numFmtId="175" fontId="0" fillId="3" borderId="3" xfId="1" applyNumberFormat="1" applyFont="1" applyFill="1" applyBorder="1" applyProtection="1"/>
    <xf numFmtId="175" fontId="1" fillId="3" borderId="0" xfId="0" applyNumberFormat="1" applyFont="1" applyFill="1"/>
    <xf numFmtId="190" fontId="0" fillId="0" borderId="0" xfId="0" applyNumberFormat="1"/>
    <xf numFmtId="177" fontId="0" fillId="3" borderId="3" xfId="0" applyNumberFormat="1" applyFill="1" applyBorder="1"/>
    <xf numFmtId="181" fontId="0" fillId="0" borderId="0" xfId="0" applyNumberFormat="1"/>
    <xf numFmtId="174" fontId="19" fillId="3" borderId="3" xfId="0" applyNumberFormat="1" applyFont="1" applyFill="1" applyBorder="1"/>
    <xf numFmtId="174" fontId="0" fillId="3" borderId="3" xfId="0" applyNumberFormat="1" applyFill="1" applyBorder="1"/>
    <xf numFmtId="176" fontId="1" fillId="3" borderId="21" xfId="0" applyNumberFormat="1" applyFont="1" applyFill="1" applyBorder="1"/>
    <xf numFmtId="176" fontId="1" fillId="3" borderId="0" xfId="0" applyNumberFormat="1" applyFont="1" applyFill="1"/>
    <xf numFmtId="174" fontId="19" fillId="3" borderId="0" xfId="0" applyNumberFormat="1" applyFont="1" applyFill="1"/>
    <xf numFmtId="177" fontId="19" fillId="3" borderId="3" xfId="0" applyNumberFormat="1" applyFont="1" applyFill="1" applyBorder="1"/>
    <xf numFmtId="0" fontId="43" fillId="0" borderId="0" xfId="9" applyFont="1"/>
    <xf numFmtId="0" fontId="0" fillId="0" borderId="0" xfId="9" applyFont="1" applyAlignment="1">
      <alignment vertical="center"/>
    </xf>
    <xf numFmtId="0" fontId="0" fillId="0" borderId="0" xfId="9" applyFont="1"/>
    <xf numFmtId="0" fontId="0" fillId="0" borderId="0" xfId="9" applyFont="1" applyAlignment="1">
      <alignment horizontal="center"/>
    </xf>
    <xf numFmtId="0" fontId="4" fillId="0" borderId="0" xfId="9" applyFont="1" applyAlignment="1">
      <alignment horizontal="centerContinuous"/>
    </xf>
    <xf numFmtId="0" fontId="44" fillId="0" borderId="0" xfId="9" applyFont="1" applyAlignment="1">
      <alignment horizontal="centerContinuous"/>
    </xf>
    <xf numFmtId="0" fontId="5" fillId="0" borderId="0" xfId="9" applyFont="1" applyAlignment="1">
      <alignment horizontal="centerContinuous"/>
    </xf>
    <xf numFmtId="0" fontId="0" fillId="0" borderId="1" xfId="9" applyFont="1" applyBorder="1"/>
    <xf numFmtId="0" fontId="0" fillId="0" borderId="1" xfId="9" applyFont="1" applyBorder="1" applyAlignment="1">
      <alignment horizontal="center"/>
    </xf>
    <xf numFmtId="0" fontId="20" fillId="0" borderId="0" xfId="9" applyFont="1" applyAlignment="1">
      <alignment horizontal="left"/>
    </xf>
    <xf numFmtId="0" fontId="20" fillId="0" borderId="0" xfId="9" applyFont="1" applyAlignment="1">
      <alignment horizontal="center"/>
    </xf>
    <xf numFmtId="0" fontId="0" fillId="0" borderId="13" xfId="9" applyFont="1" applyBorder="1"/>
    <xf numFmtId="0" fontId="0" fillId="0" borderId="7" xfId="9" applyFont="1" applyBorder="1"/>
    <xf numFmtId="0" fontId="0" fillId="0" borderId="7" xfId="9" applyFont="1" applyBorder="1" applyAlignment="1">
      <alignment horizontal="center"/>
    </xf>
    <xf numFmtId="0" fontId="1" fillId="0" borderId="14" xfId="9" applyFont="1" applyBorder="1" applyAlignment="1">
      <alignment vertical="center"/>
    </xf>
    <xf numFmtId="0" fontId="1" fillId="0" borderId="0" xfId="9" applyFont="1"/>
    <xf numFmtId="0" fontId="40" fillId="3" borderId="0" xfId="9" applyFont="1" applyFill="1" applyAlignment="1">
      <alignment horizontal="center" vertical="center"/>
    </xf>
    <xf numFmtId="0" fontId="1" fillId="0" borderId="15" xfId="9" applyFont="1" applyBorder="1"/>
    <xf numFmtId="0" fontId="1" fillId="0" borderId="3" xfId="9" applyFont="1" applyBorder="1"/>
    <xf numFmtId="0" fontId="1" fillId="0" borderId="3" xfId="9" applyFont="1" applyBorder="1" applyAlignment="1">
      <alignment horizontal="center"/>
    </xf>
    <xf numFmtId="0" fontId="1" fillId="0" borderId="0" xfId="9" applyFont="1" applyAlignment="1">
      <alignment horizontal="center"/>
    </xf>
    <xf numFmtId="0" fontId="45" fillId="0" borderId="0" xfId="9" applyFont="1" applyAlignment="1">
      <alignment horizontal="left"/>
    </xf>
    <xf numFmtId="0" fontId="46" fillId="0" borderId="0" xfId="9" applyFont="1" applyAlignment="1">
      <alignment horizontal="left"/>
    </xf>
    <xf numFmtId="0" fontId="1" fillId="0" borderId="0" xfId="9" applyFont="1" applyAlignment="1">
      <alignment horizontal="left" vertical="center"/>
    </xf>
    <xf numFmtId="0" fontId="40" fillId="0" borderId="0" xfId="9" applyFont="1" applyAlignment="1">
      <alignment horizontal="center"/>
    </xf>
    <xf numFmtId="0" fontId="1" fillId="0" borderId="0" xfId="9" applyFont="1" applyAlignment="1">
      <alignment horizontal="left"/>
    </xf>
    <xf numFmtId="0" fontId="0" fillId="0" borderId="0" xfId="9" applyFont="1" applyAlignment="1">
      <alignment horizontal="left"/>
    </xf>
    <xf numFmtId="0" fontId="2" fillId="0" borderId="0" xfId="9" applyFont="1" applyAlignment="1">
      <alignment horizontal="center"/>
    </xf>
    <xf numFmtId="0" fontId="0" fillId="0" borderId="2" xfId="9" applyFont="1" applyBorder="1"/>
    <xf numFmtId="0" fontId="0" fillId="0" borderId="2" xfId="9" applyFont="1" applyBorder="1" applyAlignment="1">
      <alignment horizontal="center"/>
    </xf>
    <xf numFmtId="0" fontId="40" fillId="0" borderId="0" xfId="9" applyFont="1" applyAlignment="1">
      <alignment horizontal="center" vertical="center"/>
    </xf>
    <xf numFmtId="180" fontId="47" fillId="0" borderId="0" xfId="9" applyNumberFormat="1" applyFont="1"/>
    <xf numFmtId="0" fontId="0" fillId="3" borderId="0" xfId="9" applyFont="1" applyFill="1" applyAlignment="1">
      <alignment horizontal="left"/>
    </xf>
    <xf numFmtId="0" fontId="0" fillId="0" borderId="3" xfId="9" applyFont="1" applyBorder="1"/>
    <xf numFmtId="0" fontId="0" fillId="0" borderId="3" xfId="9" applyFont="1" applyBorder="1" applyAlignment="1">
      <alignment horizontal="center"/>
    </xf>
    <xf numFmtId="0" fontId="0" fillId="0" borderId="17" xfId="9" applyFont="1" applyBorder="1" applyAlignment="1">
      <alignment horizontal="center"/>
    </xf>
    <xf numFmtId="0" fontId="1" fillId="0" borderId="3" xfId="9" applyFont="1" applyBorder="1" applyAlignment="1">
      <alignment horizontal="centerContinuous"/>
    </xf>
    <xf numFmtId="0" fontId="40" fillId="0" borderId="18" xfId="9" applyFont="1" applyBorder="1" applyAlignment="1">
      <alignment horizontal="center" vertical="center"/>
    </xf>
    <xf numFmtId="0" fontId="1" fillId="0" borderId="0" xfId="9" applyFont="1" applyAlignment="1">
      <alignment horizontal="right"/>
    </xf>
    <xf numFmtId="0" fontId="1" fillId="0" borderId="19" xfId="9" applyFont="1" applyBorder="1" applyAlignment="1">
      <alignment horizontal="center"/>
    </xf>
    <xf numFmtId="0" fontId="10" fillId="0" borderId="0" xfId="9" applyFont="1" applyAlignment="1">
      <alignment horizontal="right"/>
    </xf>
    <xf numFmtId="172" fontId="1" fillId="3" borderId="20" xfId="0" applyNumberFormat="1" applyFont="1" applyFill="1" applyBorder="1" applyAlignment="1">
      <alignment vertical="center"/>
    </xf>
    <xf numFmtId="172" fontId="1" fillId="3" borderId="21" xfId="0" applyNumberFormat="1" applyFont="1" applyFill="1" applyBorder="1" applyAlignment="1">
      <alignment vertical="center"/>
    </xf>
    <xf numFmtId="172" fontId="38" fillId="3" borderId="4" xfId="0" applyNumberFormat="1" applyFont="1" applyFill="1" applyBorder="1"/>
    <xf numFmtId="172" fontId="38" fillId="3" borderId="5" xfId="0" applyNumberFormat="1" applyFont="1" applyFill="1" applyBorder="1"/>
    <xf numFmtId="172" fontId="38" fillId="3" borderId="26" xfId="0" applyNumberFormat="1" applyFont="1" applyFill="1" applyBorder="1"/>
    <xf numFmtId="172" fontId="38" fillId="3" borderId="0" xfId="0" applyNumberFormat="1" applyFont="1" applyFill="1"/>
    <xf numFmtId="172" fontId="38" fillId="3" borderId="6" xfId="0" applyNumberFormat="1" applyFont="1" applyFill="1" applyBorder="1"/>
    <xf numFmtId="172" fontId="38" fillId="3" borderId="2" xfId="0" applyNumberFormat="1" applyFont="1" applyFill="1" applyBorder="1"/>
    <xf numFmtId="191" fontId="38" fillId="0" borderId="0" xfId="1" applyNumberFormat="1" applyFont="1" applyBorder="1" applyAlignment="1" applyProtection="1">
      <alignment horizontal="right"/>
    </xf>
    <xf numFmtId="175" fontId="33" fillId="3" borderId="20" xfId="0" applyNumberFormat="1" applyFont="1" applyFill="1" applyBorder="1" applyAlignment="1">
      <alignment vertical="center"/>
    </xf>
    <xf numFmtId="175" fontId="33" fillId="3" borderId="21" xfId="0" applyNumberFormat="1" applyFont="1" applyFill="1" applyBorder="1" applyAlignment="1">
      <alignment vertical="center"/>
    </xf>
    <xf numFmtId="187" fontId="33" fillId="0" borderId="0" xfId="0" applyNumberFormat="1" applyFont="1"/>
    <xf numFmtId="175" fontId="38" fillId="3" borderId="4" xfId="1" applyNumberFormat="1" applyFont="1" applyFill="1" applyBorder="1" applyProtection="1"/>
    <xf numFmtId="175" fontId="38" fillId="3" borderId="5" xfId="1" applyNumberFormat="1" applyFont="1" applyFill="1" applyBorder="1" applyProtection="1"/>
    <xf numFmtId="175" fontId="2" fillId="3" borderId="26" xfId="1" applyNumberFormat="1" applyFont="1" applyFill="1" applyBorder="1" applyProtection="1"/>
    <xf numFmtId="172" fontId="38" fillId="0" borderId="4" xfId="0" applyNumberFormat="1" applyFont="1" applyBorder="1"/>
    <xf numFmtId="172" fontId="38" fillId="0" borderId="5" xfId="0" applyNumberFormat="1" applyFont="1" applyBorder="1"/>
    <xf numFmtId="172" fontId="38" fillId="0" borderId="26" xfId="0" applyNumberFormat="1" applyFont="1" applyBorder="1"/>
    <xf numFmtId="172" fontId="38" fillId="0" borderId="0" xfId="0" applyNumberFormat="1" applyFont="1"/>
    <xf numFmtId="172" fontId="38" fillId="0" borderId="6" xfId="0" applyNumberFormat="1" applyFont="1" applyBorder="1"/>
    <xf numFmtId="172" fontId="38" fillId="0" borderId="2" xfId="0" applyNumberFormat="1" applyFont="1" applyBorder="1"/>
    <xf numFmtId="0" fontId="7" fillId="0" borderId="0" xfId="9" applyFont="1"/>
    <xf numFmtId="37" fontId="0" fillId="0" borderId="0" xfId="9" applyNumberFormat="1" applyFont="1"/>
    <xf numFmtId="172" fontId="1" fillId="3" borderId="25" xfId="0" applyNumberFormat="1" applyFont="1" applyFill="1" applyBorder="1" applyAlignment="1">
      <alignment vertical="center"/>
    </xf>
    <xf numFmtId="172" fontId="38" fillId="3" borderId="9" xfId="0" applyNumberFormat="1" applyFont="1" applyFill="1" applyBorder="1"/>
    <xf numFmtId="172" fontId="38" fillId="3" borderId="27" xfId="0" applyNumberFormat="1" applyFont="1" applyFill="1" applyBorder="1"/>
    <xf numFmtId="172" fontId="38" fillId="3" borderId="10" xfId="0" applyNumberFormat="1" applyFont="1" applyFill="1" applyBorder="1"/>
    <xf numFmtId="191" fontId="48" fillId="0" borderId="0" xfId="1" applyNumberFormat="1" applyFont="1" applyBorder="1" applyAlignment="1" applyProtection="1">
      <alignment horizontal="right"/>
    </xf>
    <xf numFmtId="175" fontId="33" fillId="3" borderId="25" xfId="0" applyNumberFormat="1" applyFont="1" applyFill="1" applyBorder="1" applyAlignment="1">
      <alignment vertical="center"/>
    </xf>
    <xf numFmtId="175" fontId="38" fillId="3" borderId="9" xfId="0" applyNumberFormat="1" applyFont="1" applyFill="1" applyBorder="1"/>
    <xf numFmtId="192" fontId="0" fillId="0" borderId="0" xfId="9" applyNumberFormat="1" applyFont="1"/>
    <xf numFmtId="37" fontId="2" fillId="0" borderId="0" xfId="0" applyNumberFormat="1" applyFont="1"/>
    <xf numFmtId="172" fontId="38" fillId="0" borderId="9" xfId="0" applyNumberFormat="1" applyFont="1" applyBorder="1"/>
    <xf numFmtId="172" fontId="38" fillId="0" borderId="27" xfId="0" applyNumberFormat="1" applyFont="1" applyBorder="1"/>
    <xf numFmtId="172" fontId="38" fillId="0" borderId="10" xfId="0" applyNumberFormat="1" applyFont="1" applyBorder="1"/>
    <xf numFmtId="0" fontId="0" fillId="0" borderId="0" xfId="0" applyAlignment="1">
      <alignment vertical="center"/>
    </xf>
    <xf numFmtId="0" fontId="49" fillId="0" borderId="0" xfId="0" applyFont="1" applyAlignment="1">
      <alignment vertical="center"/>
    </xf>
    <xf numFmtId="0" fontId="4" fillId="3" borderId="0" xfId="0" applyFont="1" applyFill="1" applyAlignment="1">
      <alignment horizontal="centerContinuous"/>
    </xf>
    <xf numFmtId="0" fontId="50" fillId="0" borderId="0" xfId="0" applyFont="1" applyAlignment="1">
      <alignment horizontal="centerContinuous"/>
    </xf>
    <xf numFmtId="0" fontId="50" fillId="0" borderId="1" xfId="0" applyFont="1" applyBorder="1"/>
    <xf numFmtId="0" fontId="0" fillId="0" borderId="1" xfId="0" applyBorder="1"/>
    <xf numFmtId="0" fontId="51" fillId="4" borderId="28" xfId="0" applyFont="1" applyFill="1" applyBorder="1" applyAlignment="1">
      <alignment vertical="center"/>
    </xf>
    <xf numFmtId="0" fontId="0" fillId="4" borderId="29" xfId="0" applyFill="1" applyBorder="1"/>
    <xf numFmtId="0" fontId="1" fillId="5" borderId="30" xfId="0" applyFont="1" applyFill="1" applyBorder="1" applyAlignment="1">
      <alignment vertical="center"/>
    </xf>
    <xf numFmtId="0" fontId="0" fillId="5" borderId="0" xfId="0" applyFill="1"/>
    <xf numFmtId="0" fontId="1" fillId="6" borderId="30" xfId="0" applyFont="1" applyFill="1" applyBorder="1" applyAlignment="1">
      <alignment vertical="center"/>
    </xf>
    <xf numFmtId="0" fontId="0" fillId="6" borderId="0" xfId="0" applyFill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10" fillId="0" borderId="30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7" fillId="0" borderId="30" xfId="0" applyFont="1" applyBorder="1"/>
    <xf numFmtId="0" fontId="7" fillId="0" borderId="31" xfId="0" applyFont="1" applyBorder="1" applyAlignment="1">
      <alignment horizontal="left"/>
    </xf>
    <xf numFmtId="0" fontId="0" fillId="0" borderId="32" xfId="0" applyBorder="1"/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4" borderId="29" xfId="0" applyFill="1" applyBorder="1" applyAlignment="1">
      <alignment vertical="center"/>
    </xf>
    <xf numFmtId="193" fontId="0" fillId="0" borderId="0" xfId="0" applyNumberFormat="1" applyAlignment="1">
      <alignment horizontal="left"/>
    </xf>
    <xf numFmtId="194" fontId="0" fillId="0" borderId="3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30" xfId="0" applyBorder="1"/>
    <xf numFmtId="0" fontId="1" fillId="0" borderId="30" xfId="0" applyFont="1" applyBorder="1"/>
    <xf numFmtId="0" fontId="0" fillId="4" borderId="33" xfId="0" applyFill="1" applyBorder="1"/>
    <xf numFmtId="0" fontId="0" fillId="5" borderId="34" xfId="0" applyFill="1" applyBorder="1"/>
    <xf numFmtId="0" fontId="0" fillId="6" borderId="34" xfId="0" applyFill="1" applyBorder="1"/>
    <xf numFmtId="0" fontId="7" fillId="3" borderId="35" xfId="0" applyFont="1" applyFill="1" applyBorder="1" applyAlignment="1">
      <alignment horizontal="left"/>
    </xf>
    <xf numFmtId="0" fontId="0" fillId="0" borderId="34" xfId="0" applyBorder="1"/>
    <xf numFmtId="0" fontId="0" fillId="0" borderId="36" xfId="0" applyBorder="1"/>
    <xf numFmtId="0" fontId="10" fillId="0" borderId="0" xfId="0" applyFont="1" applyAlignment="1">
      <alignment horizontal="centerContinuous" vertical="center"/>
    </xf>
    <xf numFmtId="0" fontId="30" fillId="0" borderId="0" xfId="0" applyFont="1" applyAlignment="1">
      <alignment horizontal="centerContinuous" vertical="center"/>
    </xf>
    <xf numFmtId="0" fontId="30" fillId="0" borderId="34" xfId="0" applyFont="1" applyBorder="1" applyAlignment="1">
      <alignment horizontal="centerContinuous" vertical="center"/>
    </xf>
    <xf numFmtId="0" fontId="0" fillId="0" borderId="34" xfId="0" applyBorder="1" applyAlignment="1">
      <alignment horizontal="centerContinuous"/>
    </xf>
    <xf numFmtId="195" fontId="7" fillId="3" borderId="0" xfId="0" applyNumberFormat="1" applyFont="1" applyFill="1" applyAlignment="1">
      <alignment horizontal="centerContinuous"/>
    </xf>
    <xf numFmtId="195" fontId="7" fillId="3" borderId="32" xfId="0" applyNumberFormat="1" applyFont="1" applyFill="1" applyBorder="1" applyAlignment="1">
      <alignment horizontal="centerContinuous"/>
    </xf>
    <xf numFmtId="0" fontId="0" fillId="0" borderId="32" xfId="0" applyBorder="1" applyAlignment="1">
      <alignment horizontal="centerContinuous"/>
    </xf>
    <xf numFmtId="0" fontId="0" fillId="0" borderId="36" xfId="0" applyBorder="1" applyAlignment="1">
      <alignment horizontal="centerContinuous"/>
    </xf>
    <xf numFmtId="196" fontId="7" fillId="3" borderId="0" xfId="0" applyNumberFormat="1" applyFont="1" applyFill="1"/>
    <xf numFmtId="196" fontId="7" fillId="3" borderId="32" xfId="0" applyNumberFormat="1" applyFont="1" applyFill="1" applyBorder="1"/>
    <xf numFmtId="0" fontId="0" fillId="4" borderId="33" xfId="0" applyFill="1" applyBorder="1" applyAlignment="1">
      <alignment vertical="center"/>
    </xf>
    <xf numFmtId="0" fontId="7" fillId="0" borderId="34" xfId="0" applyFont="1" applyBorder="1" applyAlignment="1">
      <alignment horizontal="right"/>
    </xf>
    <xf numFmtId="3" fontId="7" fillId="3" borderId="34" xfId="0" applyNumberFormat="1" applyFont="1" applyFill="1" applyBorder="1" applyAlignment="1">
      <alignment horizontal="right"/>
    </xf>
    <xf numFmtId="3" fontId="7" fillId="3" borderId="36" xfId="0" applyNumberFormat="1" applyFont="1" applyFill="1" applyBorder="1" applyAlignment="1">
      <alignment horizontal="right"/>
    </xf>
    <xf numFmtId="197" fontId="7" fillId="0" borderId="0" xfId="0" applyNumberFormat="1" applyFon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31" xfId="0" applyBorder="1"/>
    <xf numFmtId="0" fontId="0" fillId="0" borderId="30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10" fillId="0" borderId="30" xfId="0" applyFont="1" applyBorder="1"/>
    <xf numFmtId="193" fontId="0" fillId="0" borderId="30" xfId="0" applyNumberFormat="1" applyBorder="1" applyAlignment="1">
      <alignment horizontal="left"/>
    </xf>
    <xf numFmtId="0" fontId="51" fillId="4" borderId="29" xfId="0" applyFont="1" applyFill="1" applyBorder="1" applyAlignment="1">
      <alignment vertical="center"/>
    </xf>
    <xf numFmtId="176" fontId="7" fillId="3" borderId="0" xfId="0" applyNumberFormat="1" applyFont="1" applyFill="1"/>
    <xf numFmtId="175" fontId="7" fillId="3" borderId="0" xfId="0" applyNumberFormat="1" applyFont="1" applyFill="1"/>
    <xf numFmtId="37" fontId="7" fillId="0" borderId="0" xfId="0" applyNumberFormat="1" applyFont="1" applyAlignment="1">
      <alignment horizontal="right"/>
    </xf>
    <xf numFmtId="198" fontId="7" fillId="3" borderId="37" xfId="0" applyNumberFormat="1" applyFont="1" applyFill="1" applyBorder="1" applyAlignment="1">
      <alignment horizontal="right"/>
    </xf>
    <xf numFmtId="39" fontId="7" fillId="3" borderId="34" xfId="0" applyNumberFormat="1" applyFont="1" applyFill="1" applyBorder="1" applyAlignment="1">
      <alignment horizontal="right"/>
    </xf>
    <xf numFmtId="37" fontId="7" fillId="0" borderId="32" xfId="0" applyNumberFormat="1" applyFont="1" applyBorder="1" applyAlignment="1">
      <alignment horizontal="right"/>
    </xf>
    <xf numFmtId="172" fontId="7" fillId="3" borderId="36" xfId="0" applyNumberFormat="1" applyFont="1" applyFill="1" applyBorder="1" applyAlignment="1">
      <alignment horizontal="right"/>
    </xf>
    <xf numFmtId="39" fontId="7" fillId="0" borderId="0" xfId="0" applyNumberFormat="1" applyFont="1" applyAlignment="1">
      <alignment horizontal="right"/>
    </xf>
    <xf numFmtId="37" fontId="7" fillId="3" borderId="34" xfId="0" applyNumberFormat="1" applyFont="1" applyFill="1" applyBorder="1" applyAlignment="1">
      <alignment horizontal="right"/>
    </xf>
    <xf numFmtId="172" fontId="7" fillId="3" borderId="34" xfId="0" applyNumberFormat="1" applyFont="1" applyFill="1" applyBorder="1" applyAlignment="1">
      <alignment horizontal="right"/>
    </xf>
    <xf numFmtId="176" fontId="7" fillId="0" borderId="36" xfId="0" applyNumberFormat="1" applyFont="1" applyBorder="1" applyAlignment="1">
      <alignment horizontal="right"/>
    </xf>
    <xf numFmtId="0" fontId="51" fillId="4" borderId="33" xfId="0" applyFont="1" applyFill="1" applyBorder="1" applyAlignment="1">
      <alignment vertical="center"/>
    </xf>
    <xf numFmtId="176" fontId="7" fillId="0" borderId="34" xfId="0" applyNumberFormat="1" applyFont="1" applyBorder="1"/>
    <xf numFmtId="176" fontId="7" fillId="3" borderId="34" xfId="0" applyNumberFormat="1" applyFont="1" applyFill="1" applyBorder="1"/>
    <xf numFmtId="175" fontId="7" fillId="3" borderId="34" xfId="0" applyNumberFormat="1" applyFont="1" applyFill="1" applyBorder="1"/>
    <xf numFmtId="10" fontId="0" fillId="0" borderId="0" xfId="0" applyNumberFormat="1"/>
    <xf numFmtId="0" fontId="52" fillId="0" borderId="0" xfId="0" applyFont="1" applyAlignment="1">
      <alignment vertical="center"/>
    </xf>
    <xf numFmtId="0" fontId="52" fillId="0" borderId="0" xfId="0" applyFont="1"/>
    <xf numFmtId="0" fontId="1" fillId="0" borderId="30" xfId="0" applyFont="1" applyBorder="1" applyAlignment="1">
      <alignment horizontal="left" vertical="center"/>
    </xf>
    <xf numFmtId="194" fontId="0" fillId="0" borderId="0" xfId="0" applyNumberFormat="1" applyAlignment="1">
      <alignment horizontal="left"/>
    </xf>
    <xf numFmtId="175" fontId="7" fillId="0" borderId="32" xfId="0" applyNumberFormat="1" applyFont="1" applyBorder="1"/>
    <xf numFmtId="175" fontId="7" fillId="0" borderId="36" xfId="0" applyNumberFormat="1" applyFont="1" applyBorder="1"/>
    <xf numFmtId="0" fontId="81" fillId="0" borderId="0" xfId="12" applyAlignment="1">
      <alignment vertical="center"/>
    </xf>
    <xf numFmtId="0" fontId="81" fillId="0" borderId="0" xfId="12"/>
    <xf numFmtId="0" fontId="4" fillId="0" borderId="0" xfId="12" applyFont="1" applyAlignment="1">
      <alignment horizontal="centerContinuous"/>
    </xf>
    <xf numFmtId="0" fontId="53" fillId="0" borderId="0" xfId="12" applyFont="1" applyAlignment="1">
      <alignment horizontal="centerContinuous"/>
    </xf>
    <xf numFmtId="0" fontId="5" fillId="0" borderId="0" xfId="12" applyFont="1" applyAlignment="1">
      <alignment horizontal="centerContinuous"/>
    </xf>
    <xf numFmtId="0" fontId="81" fillId="0" borderId="1" xfId="12" applyBorder="1"/>
    <xf numFmtId="0" fontId="54" fillId="0" borderId="0" xfId="12" applyFont="1" applyAlignment="1">
      <alignment horizontal="centerContinuous"/>
    </xf>
    <xf numFmtId="0" fontId="1" fillId="0" borderId="0" xfId="12" applyFont="1" applyAlignment="1">
      <alignment horizontal="centerContinuous"/>
    </xf>
    <xf numFmtId="0" fontId="55" fillId="0" borderId="0" xfId="12" applyFont="1" applyAlignment="1">
      <alignment horizontal="centerContinuous"/>
    </xf>
    <xf numFmtId="0" fontId="81" fillId="4" borderId="38" xfId="12" applyFill="1" applyBorder="1" applyAlignment="1">
      <alignment vertical="center"/>
    </xf>
    <xf numFmtId="0" fontId="81" fillId="4" borderId="39" xfId="12" applyFill="1" applyBorder="1" applyAlignment="1">
      <alignment vertical="center"/>
    </xf>
    <xf numFmtId="0" fontId="81" fillId="4" borderId="40" xfId="12" applyFill="1" applyBorder="1" applyAlignment="1">
      <alignment vertical="center"/>
    </xf>
    <xf numFmtId="0" fontId="51" fillId="4" borderId="0" xfId="12" applyFont="1" applyFill="1" applyAlignment="1">
      <alignment vertical="center"/>
    </xf>
    <xf numFmtId="0" fontId="81" fillId="5" borderId="40" xfId="12" applyFill="1" applyBorder="1"/>
    <xf numFmtId="0" fontId="81" fillId="5" borderId="0" xfId="12" applyFill="1"/>
    <xf numFmtId="0" fontId="81" fillId="6" borderId="40" xfId="12" applyFill="1" applyBorder="1"/>
    <xf numFmtId="0" fontId="81" fillId="6" borderId="0" xfId="12" applyFill="1"/>
    <xf numFmtId="0" fontId="81" fillId="0" borderId="40" xfId="12" applyBorder="1"/>
    <xf numFmtId="0" fontId="1" fillId="0" borderId="0" xfId="12" applyFont="1"/>
    <xf numFmtId="0" fontId="81" fillId="0" borderId="41" xfId="12" applyBorder="1"/>
    <xf numFmtId="0" fontId="81" fillId="0" borderId="42" xfId="12" applyBorder="1"/>
    <xf numFmtId="0" fontId="81" fillId="4" borderId="43" xfId="12" applyFill="1" applyBorder="1" applyAlignment="1">
      <alignment vertical="center"/>
    </xf>
    <xf numFmtId="0" fontId="28" fillId="0" borderId="0" xfId="12" applyFont="1" applyAlignment="1">
      <alignment horizontal="centerContinuous"/>
    </xf>
    <xf numFmtId="0" fontId="5" fillId="0" borderId="0" xfId="12" applyFont="1" applyAlignment="1">
      <alignment horizontal="centerContinuous" vertical="center"/>
    </xf>
    <xf numFmtId="0" fontId="56" fillId="4" borderId="39" xfId="12" applyFont="1" applyFill="1" applyBorder="1" applyAlignment="1">
      <alignment vertical="center"/>
    </xf>
    <xf numFmtId="0" fontId="81" fillId="4" borderId="0" xfId="12" applyFill="1" applyAlignment="1">
      <alignment vertical="center"/>
    </xf>
    <xf numFmtId="170" fontId="51" fillId="4" borderId="0" xfId="0" applyNumberFormat="1" applyFont="1" applyFill="1" applyAlignment="1">
      <alignment vertical="center"/>
    </xf>
    <xf numFmtId="170" fontId="10" fillId="5" borderId="0" xfId="0" applyNumberFormat="1" applyFont="1" applyFill="1"/>
    <xf numFmtId="170" fontId="10" fillId="6" borderId="0" xfId="0" applyNumberFormat="1" applyFont="1" applyFill="1"/>
    <xf numFmtId="0" fontId="57" fillId="0" borderId="0" xfId="12" applyFont="1"/>
    <xf numFmtId="181" fontId="58" fillId="3" borderId="0" xfId="1" applyNumberFormat="1" applyFont="1" applyFill="1" applyBorder="1"/>
    <xf numFmtId="0" fontId="34" fillId="0" borderId="0" xfId="12" applyFont="1"/>
    <xf numFmtId="0" fontId="2" fillId="0" borderId="0" xfId="12" applyFont="1"/>
    <xf numFmtId="0" fontId="58" fillId="0" borderId="0" xfId="12" applyFont="1"/>
    <xf numFmtId="0" fontId="59" fillId="0" borderId="0" xfId="12" applyFont="1"/>
    <xf numFmtId="0" fontId="58" fillId="0" borderId="44" xfId="12" applyFont="1" applyBorder="1"/>
    <xf numFmtId="179" fontId="60" fillId="3" borderId="0" xfId="0" applyNumberFormat="1" applyFont="1" applyFill="1"/>
    <xf numFmtId="0" fontId="61" fillId="0" borderId="0" xfId="12" applyFont="1"/>
    <xf numFmtId="0" fontId="15" fillId="0" borderId="0" xfId="12" applyFont="1"/>
    <xf numFmtId="0" fontId="81" fillId="0" borderId="42" xfId="12" applyBorder="1" applyAlignment="1">
      <alignment horizontal="left"/>
    </xf>
    <xf numFmtId="0" fontId="81" fillId="4" borderId="32" xfId="12" applyFill="1" applyBorder="1" applyAlignment="1">
      <alignment vertical="center"/>
    </xf>
    <xf numFmtId="170" fontId="51" fillId="4" borderId="32" xfId="0" applyNumberFormat="1" applyFont="1" applyFill="1" applyBorder="1" applyAlignment="1">
      <alignment vertical="center"/>
    </xf>
    <xf numFmtId="0" fontId="62" fillId="4" borderId="45" xfId="12" applyFont="1" applyFill="1" applyBorder="1" applyAlignment="1">
      <alignment horizontal="centerContinuous" vertical="center"/>
    </xf>
    <xf numFmtId="0" fontId="63" fillId="4" borderId="45" xfId="12" applyFont="1" applyFill="1" applyBorder="1" applyAlignment="1">
      <alignment horizontal="centerContinuous" vertical="center"/>
    </xf>
    <xf numFmtId="0" fontId="51" fillId="4" borderId="0" xfId="0" applyFont="1" applyFill="1" applyAlignment="1">
      <alignment vertical="center"/>
    </xf>
    <xf numFmtId="199" fontId="10" fillId="5" borderId="0" xfId="0" applyNumberFormat="1" applyFont="1" applyFill="1" applyAlignment="1">
      <alignment horizontal="right"/>
    </xf>
    <xf numFmtId="0" fontId="10" fillId="5" borderId="0" xfId="0" applyFont="1" applyFill="1"/>
    <xf numFmtId="199" fontId="10" fillId="6" borderId="0" xfId="0" applyNumberFormat="1" applyFont="1" applyFill="1" applyAlignment="1">
      <alignment horizontal="right"/>
    </xf>
    <xf numFmtId="0" fontId="10" fillId="6" borderId="0" xfId="0" applyFont="1" applyFill="1"/>
    <xf numFmtId="0" fontId="51" fillId="4" borderId="32" xfId="0" applyFont="1" applyFill="1" applyBorder="1" applyAlignment="1">
      <alignment vertical="center"/>
    </xf>
    <xf numFmtId="0" fontId="56" fillId="4" borderId="46" xfId="12" applyFont="1" applyFill="1" applyBorder="1" applyAlignment="1">
      <alignment vertical="center"/>
    </xf>
    <xf numFmtId="0" fontId="56" fillId="4" borderId="47" xfId="12" applyFont="1" applyFill="1" applyBorder="1" applyAlignment="1">
      <alignment vertical="center"/>
    </xf>
    <xf numFmtId="0" fontId="10" fillId="5" borderId="47" xfId="0" applyFont="1" applyFill="1" applyBorder="1"/>
    <xf numFmtId="0" fontId="10" fillId="6" borderId="47" xfId="0" applyFont="1" applyFill="1" applyBorder="1"/>
    <xf numFmtId="0" fontId="81" fillId="0" borderId="47" xfId="12" applyBorder="1"/>
    <xf numFmtId="181" fontId="0" fillId="0" borderId="47" xfId="1" applyNumberFormat="1" applyFont="1" applyBorder="1"/>
    <xf numFmtId="179" fontId="20" fillId="0" borderId="47" xfId="0" applyNumberFormat="1" applyFont="1" applyBorder="1"/>
    <xf numFmtId="0" fontId="81" fillId="0" borderId="48" xfId="12" applyBorder="1"/>
    <xf numFmtId="0" fontId="81" fillId="4" borderId="46" xfId="12" applyFill="1" applyBorder="1" applyAlignment="1">
      <alignment vertical="center"/>
    </xf>
    <xf numFmtId="0" fontId="81" fillId="4" borderId="47" xfId="12" applyFill="1" applyBorder="1" applyAlignment="1">
      <alignment vertical="center"/>
    </xf>
    <xf numFmtId="0" fontId="81" fillId="4" borderId="49" xfId="12" applyFill="1" applyBorder="1" applyAlignment="1">
      <alignment vertical="center"/>
    </xf>
    <xf numFmtId="0" fontId="81" fillId="0" borderId="14" xfId="12" applyBorder="1" applyAlignment="1">
      <alignment vertical="center"/>
    </xf>
    <xf numFmtId="0" fontId="81" fillId="0" borderId="14" xfId="12" applyBorder="1"/>
    <xf numFmtId="0" fontId="81" fillId="0" borderId="15" xfId="12" applyBorder="1"/>
    <xf numFmtId="0" fontId="81" fillId="0" borderId="3" xfId="12" applyBorder="1" applyAlignment="1">
      <alignment vertical="center"/>
    </xf>
    <xf numFmtId="170" fontId="1" fillId="0" borderId="3" xfId="0" applyNumberFormat="1" applyFont="1" applyBorder="1" applyAlignment="1">
      <alignment vertical="center"/>
    </xf>
    <xf numFmtId="0" fontId="12" fillId="0" borderId="0" xfId="12" applyFont="1"/>
    <xf numFmtId="181" fontId="0" fillId="3" borderId="0" xfId="1" applyNumberFormat="1" applyFont="1" applyFill="1" applyBorder="1"/>
    <xf numFmtId="0" fontId="81" fillId="0" borderId="3" xfId="12" applyBorder="1"/>
    <xf numFmtId="181" fontId="0" fillId="0" borderId="0" xfId="1" applyNumberFormat="1" applyFont="1" applyBorder="1"/>
    <xf numFmtId="0" fontId="20" fillId="0" borderId="0" xfId="12" applyFont="1"/>
    <xf numFmtId="0" fontId="81" fillId="0" borderId="0" xfId="12" applyAlignment="1">
      <alignment horizontal="right"/>
    </xf>
    <xf numFmtId="0" fontId="1" fillId="0" borderId="3" xfId="0" applyFont="1" applyBorder="1" applyAlignment="1">
      <alignment vertical="center"/>
    </xf>
    <xf numFmtId="0" fontId="81" fillId="0" borderId="18" xfId="12" applyBorder="1" applyAlignment="1">
      <alignment vertical="center"/>
    </xf>
    <xf numFmtId="0" fontId="81" fillId="0" borderId="18" xfId="12" applyBorder="1"/>
    <xf numFmtId="0" fontId="81" fillId="0" borderId="19" xfId="12" applyBorder="1"/>
    <xf numFmtId="0" fontId="64" fillId="2" borderId="0" xfId="7" applyFont="1" applyFill="1" applyProtection="1">
      <protection locked="0"/>
    </xf>
    <xf numFmtId="0" fontId="64" fillId="2" borderId="50" xfId="7" applyFont="1" applyFill="1" applyBorder="1" applyProtection="1">
      <protection locked="0"/>
    </xf>
    <xf numFmtId="0" fontId="65" fillId="2" borderId="0" xfId="7" applyFont="1" applyFill="1" applyProtection="1">
      <protection locked="0"/>
    </xf>
    <xf numFmtId="0" fontId="66" fillId="2" borderId="0" xfId="7" applyFont="1" applyFill="1"/>
    <xf numFmtId="0" fontId="67" fillId="2" borderId="0" xfId="7" applyFont="1" applyFill="1" applyProtection="1">
      <protection locked="0"/>
    </xf>
    <xf numFmtId="0" fontId="68" fillId="2" borderId="0" xfId="7" applyFont="1" applyFill="1" applyProtection="1">
      <protection locked="0"/>
    </xf>
    <xf numFmtId="200" fontId="69" fillId="2" borderId="0" xfId="4" applyNumberFormat="1" applyFont="1" applyFill="1" applyAlignment="1" applyProtection="1">
      <alignment horizontal="left" wrapText="1"/>
      <protection locked="0"/>
    </xf>
    <xf numFmtId="0" fontId="70" fillId="3" borderId="0" xfId="7" applyFont="1" applyFill="1" applyProtection="1">
      <protection locked="0"/>
    </xf>
    <xf numFmtId="200" fontId="69" fillId="3" borderId="0" xfId="4" applyNumberFormat="1" applyFont="1" applyFill="1" applyAlignment="1" applyProtection="1">
      <alignment horizontal="left" wrapText="1"/>
      <protection locked="0"/>
    </xf>
    <xf numFmtId="0" fontId="71" fillId="2" borderId="0" xfId="7" applyFont="1" applyFill="1"/>
    <xf numFmtId="0" fontId="72" fillId="2" borderId="0" xfId="7" applyFont="1" applyFill="1" applyProtection="1">
      <protection locked="0"/>
    </xf>
    <xf numFmtId="0" fontId="66" fillId="2" borderId="0" xfId="7" applyFont="1" applyFill="1" applyProtection="1">
      <protection locked="0"/>
    </xf>
    <xf numFmtId="0" fontId="64" fillId="2" borderId="1" xfId="7" applyFont="1" applyFill="1" applyBorder="1" applyProtection="1">
      <protection locked="0"/>
    </xf>
    <xf numFmtId="0" fontId="73" fillId="2" borderId="0" xfId="7" applyFont="1" applyFill="1" applyProtection="1">
      <protection locked="0"/>
    </xf>
    <xf numFmtId="0" fontId="64" fillId="2" borderId="0" xfId="7" applyFont="1" applyFill="1"/>
    <xf numFmtId="0" fontId="64" fillId="2" borderId="0" xfId="7" applyFont="1" applyFill="1" applyAlignment="1" applyProtection="1">
      <alignment wrapText="1"/>
      <protection locked="0"/>
    </xf>
    <xf numFmtId="0" fontId="0" fillId="0" borderId="0" xfId="0" quotePrefix="1" applyAlignment="1">
      <alignment horizontal="left"/>
    </xf>
    <xf numFmtId="0" fontId="0" fillId="0" borderId="30" xfId="0" quotePrefix="1" applyBorder="1" applyAlignment="1">
      <alignment horizontal="left"/>
    </xf>
    <xf numFmtId="193" fontId="0" fillId="0" borderId="0" xfId="0" quotePrefix="1" applyNumberFormat="1" applyAlignment="1">
      <alignment horizontal="left"/>
    </xf>
    <xf numFmtId="193" fontId="0" fillId="0" borderId="32" xfId="0" quotePrefix="1" applyNumberFormat="1" applyBorder="1" applyAlignment="1">
      <alignment horizontal="left"/>
    </xf>
    <xf numFmtId="0" fontId="0" fillId="0" borderId="31" xfId="0" quotePrefix="1" applyBorder="1" applyAlignment="1">
      <alignment horizontal="left"/>
    </xf>
    <xf numFmtId="0" fontId="1" fillId="0" borderId="0" xfId="0" quotePrefix="1" applyFont="1" applyAlignment="1">
      <alignment horizontal="left"/>
    </xf>
    <xf numFmtId="0" fontId="20" fillId="0" borderId="0" xfId="0" quotePrefix="1" applyFont="1"/>
    <xf numFmtId="178" fontId="1" fillId="0" borderId="0" xfId="0" quotePrefix="1" applyNumberFormat="1" applyFont="1" applyAlignment="1">
      <alignment horizontal="left"/>
    </xf>
    <xf numFmtId="0" fontId="2" fillId="3" borderId="0" xfId="0" applyFont="1" applyFill="1"/>
    <xf numFmtId="0" fontId="12" fillId="3" borderId="0" xfId="0" applyFont="1" applyFill="1"/>
    <xf numFmtId="0" fontId="12" fillId="3" borderId="0" xfId="0" quotePrefix="1" applyFont="1" applyFill="1" applyAlignment="1">
      <alignment horizontal="left"/>
    </xf>
    <xf numFmtId="0" fontId="15" fillId="3" borderId="0" xfId="0" quotePrefix="1" applyFont="1" applyFill="1" applyAlignment="1">
      <alignment horizontal="left"/>
    </xf>
    <xf numFmtId="0" fontId="15" fillId="3" borderId="2" xfId="0" applyFont="1" applyFill="1" applyBorder="1" applyAlignment="1">
      <alignment horizontal="left"/>
    </xf>
    <xf numFmtId="0" fontId="15" fillId="3" borderId="0" xfId="0" applyFont="1" applyFill="1" applyAlignment="1">
      <alignment horizontal="left"/>
    </xf>
    <xf numFmtId="0" fontId="15" fillId="3" borderId="0" xfId="0" applyFont="1" applyFill="1"/>
    <xf numFmtId="0" fontId="12" fillId="3" borderId="2" xfId="0" applyFont="1" applyFill="1" applyBorder="1"/>
    <xf numFmtId="0" fontId="82" fillId="3" borderId="0" xfId="0" applyFont="1" applyFill="1"/>
    <xf numFmtId="170" fontId="1" fillId="3" borderId="0" xfId="0" applyNumberFormat="1" applyFont="1" applyFill="1" applyAlignment="1">
      <alignment horizontal="right"/>
    </xf>
    <xf numFmtId="0" fontId="83" fillId="0" borderId="0" xfId="0" applyFont="1" applyAlignment="1">
      <alignment horizontal="centerContinuous" readingOrder="1"/>
    </xf>
    <xf numFmtId="9" fontId="0" fillId="0" borderId="34" xfId="2" applyFont="1" applyBorder="1" applyAlignment="1"/>
    <xf numFmtId="0" fontId="83" fillId="3" borderId="0" xfId="0" applyFont="1" applyFill="1"/>
    <xf numFmtId="0" fontId="83" fillId="2" borderId="0" xfId="0" applyFont="1" applyFill="1"/>
    <xf numFmtId="0" fontId="84" fillId="2" borderId="0" xfId="0" applyFont="1" applyFill="1"/>
    <xf numFmtId="0" fontId="0" fillId="2" borderId="54" xfId="0" applyFill="1" applyBorder="1"/>
    <xf numFmtId="9" fontId="0" fillId="2" borderId="0" xfId="2" applyFont="1" applyFill="1" applyAlignment="1"/>
    <xf numFmtId="0" fontId="84" fillId="2" borderId="54" xfId="0" applyFont="1" applyFill="1" applyBorder="1"/>
    <xf numFmtId="9" fontId="0" fillId="2" borderId="0" xfId="2" applyFont="1" applyFill="1" applyBorder="1" applyAlignment="1"/>
    <xf numFmtId="9" fontId="84" fillId="2" borderId="0" xfId="2" applyFont="1" applyFill="1" applyBorder="1" applyAlignment="1"/>
    <xf numFmtId="172" fontId="0" fillId="2" borderId="54" xfId="2" applyNumberFormat="1" applyFont="1" applyFill="1" applyBorder="1" applyAlignment="1"/>
    <xf numFmtId="201" fontId="0" fillId="2" borderId="0" xfId="0" applyNumberFormat="1" applyFill="1"/>
    <xf numFmtId="201" fontId="83" fillId="2" borderId="0" xfId="0" applyNumberFormat="1" applyFont="1" applyFill="1"/>
    <xf numFmtId="201" fontId="0" fillId="2" borderId="54" xfId="0" applyNumberFormat="1" applyFill="1" applyBorder="1"/>
    <xf numFmtId="172" fontId="0" fillId="2" borderId="0" xfId="2" applyNumberFormat="1" applyFont="1" applyFill="1" applyAlignment="1"/>
    <xf numFmtId="10" fontId="0" fillId="2" borderId="0" xfId="2" applyNumberFormat="1" applyFont="1" applyFill="1" applyAlignment="1"/>
    <xf numFmtId="177" fontId="83" fillId="0" borderId="0" xfId="1" applyNumberFormat="1" applyFont="1" applyBorder="1" applyProtection="1"/>
    <xf numFmtId="177" fontId="85" fillId="0" borderId="0" xfId="1" applyNumberFormat="1" applyFont="1" applyBorder="1" applyProtection="1"/>
    <xf numFmtId="0" fontId="83" fillId="2" borderId="55" xfId="0" applyFont="1" applyFill="1" applyBorder="1"/>
    <xf numFmtId="0" fontId="83" fillId="2" borderId="56" xfId="0" applyFont="1" applyFill="1" applyBorder="1"/>
    <xf numFmtId="0" fontId="0" fillId="2" borderId="57" xfId="0" applyFill="1" applyBorder="1"/>
    <xf numFmtId="0" fontId="0" fillId="2" borderId="58" xfId="0" applyFill="1" applyBorder="1"/>
    <xf numFmtId="0" fontId="0" fillId="2" borderId="14" xfId="0" applyFill="1" applyBorder="1"/>
    <xf numFmtId="0" fontId="0" fillId="2" borderId="18" xfId="0" applyFill="1" applyBorder="1"/>
    <xf numFmtId="0" fontId="0" fillId="2" borderId="15" xfId="0" applyFill="1" applyBorder="1"/>
    <xf numFmtId="0" fontId="0" fillId="2" borderId="19" xfId="0" applyFill="1" applyBorder="1"/>
    <xf numFmtId="0" fontId="86" fillId="0" borderId="0" xfId="0" applyFont="1"/>
    <xf numFmtId="37" fontId="87" fillId="0" borderId="0" xfId="0" applyNumberFormat="1" applyFont="1"/>
    <xf numFmtId="0" fontId="84" fillId="7" borderId="0" xfId="0" applyFont="1" applyFill="1"/>
    <xf numFmtId="0" fontId="0" fillId="7" borderId="0" xfId="0" applyFill="1"/>
    <xf numFmtId="9" fontId="19" fillId="3" borderId="19" xfId="2" applyFont="1" applyFill="1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3" borderId="0" xfId="0" applyNumberFormat="1" applyFont="1" applyFill="1" applyAlignment="1">
      <alignment vertical="center"/>
    </xf>
    <xf numFmtId="0" fontId="83" fillId="7" borderId="0" xfId="0" applyFont="1" applyFill="1"/>
    <xf numFmtId="0" fontId="83" fillId="0" borderId="0" xfId="0" applyFont="1"/>
    <xf numFmtId="0" fontId="88" fillId="0" borderId="0" xfId="0" applyFont="1"/>
    <xf numFmtId="0" fontId="89" fillId="0" borderId="0" xfId="0" applyFont="1"/>
    <xf numFmtId="0" fontId="84" fillId="2" borderId="3" xfId="0" applyFont="1" applyFill="1" applyBorder="1"/>
    <xf numFmtId="202" fontId="0" fillId="2" borderId="0" xfId="0" applyNumberFormat="1" applyFill="1"/>
    <xf numFmtId="203" fontId="0" fillId="2" borderId="0" xfId="0" applyNumberFormat="1" applyFill="1"/>
    <xf numFmtId="204" fontId="0" fillId="2" borderId="0" xfId="0" applyNumberFormat="1" applyFill="1"/>
    <xf numFmtId="202" fontId="0" fillId="3" borderId="0" xfId="15" applyNumberFormat="1" applyFont="1" applyFill="1"/>
    <xf numFmtId="0" fontId="90" fillId="2" borderId="0" xfId="0" applyFont="1" applyFill="1"/>
    <xf numFmtId="202" fontId="0" fillId="2" borderId="3" xfId="0" applyNumberFormat="1" applyFill="1" applyBorder="1"/>
    <xf numFmtId="0" fontId="91" fillId="2" borderId="0" xfId="0" applyFont="1" applyFill="1"/>
    <xf numFmtId="0" fontId="92" fillId="2" borderId="0" xfId="0" applyFont="1" applyFill="1"/>
    <xf numFmtId="0" fontId="83" fillId="0" borderId="0" xfId="0" quotePrefix="1" applyFont="1" applyAlignment="1">
      <alignment horizontal="left"/>
    </xf>
    <xf numFmtId="0" fontId="83" fillId="3" borderId="0" xfId="0" applyFont="1" applyFill="1" applyAlignment="1">
      <alignment horizontal="center"/>
    </xf>
    <xf numFmtId="0" fontId="85" fillId="0" borderId="0" xfId="0" applyFont="1"/>
    <xf numFmtId="187" fontId="83" fillId="0" borderId="0" xfId="0" applyNumberFormat="1" applyFont="1"/>
    <xf numFmtId="175" fontId="19" fillId="8" borderId="0" xfId="1" applyNumberFormat="1" applyFont="1" applyFill="1" applyProtection="1"/>
    <xf numFmtId="175" fontId="0" fillId="9" borderId="0" xfId="1" applyNumberFormat="1" applyFont="1" applyFill="1" applyProtection="1"/>
    <xf numFmtId="175" fontId="0" fillId="9" borderId="3" xfId="1" applyNumberFormat="1" applyFont="1" applyFill="1" applyBorder="1" applyProtection="1"/>
    <xf numFmtId="175" fontId="1" fillId="9" borderId="0" xfId="0" applyNumberFormat="1" applyFont="1" applyFill="1"/>
    <xf numFmtId="0" fontId="85" fillId="0" borderId="3" xfId="0" applyFont="1" applyBorder="1"/>
    <xf numFmtId="0" fontId="0" fillId="3" borderId="0" xfId="0" applyFill="1"/>
    <xf numFmtId="9" fontId="0" fillId="0" borderId="0" xfId="2" applyFont="1" applyAlignment="1"/>
    <xf numFmtId="0" fontId="94" fillId="0" borderId="0" xfId="0" applyFont="1"/>
    <xf numFmtId="177" fontId="93" fillId="9" borderId="0" xfId="0" applyNumberFormat="1" applyFont="1" applyFill="1"/>
    <xf numFmtId="176" fontId="93" fillId="9" borderId="0" xfId="0" applyNumberFormat="1" applyFont="1" applyFill="1"/>
    <xf numFmtId="181" fontId="83" fillId="0" borderId="0" xfId="0" applyNumberFormat="1" applyFont="1"/>
    <xf numFmtId="0" fontId="84" fillId="0" borderId="0" xfId="0" applyFont="1"/>
    <xf numFmtId="205" fontId="0" fillId="0" borderId="0" xfId="0" applyNumberFormat="1"/>
    <xf numFmtId="206" fontId="0" fillId="0" borderId="0" xfId="0" applyNumberFormat="1"/>
    <xf numFmtId="0" fontId="81" fillId="0" borderId="0" xfId="12" applyBorder="1"/>
    <xf numFmtId="0" fontId="34" fillId="0" borderId="0" xfId="12" applyFont="1" applyBorder="1"/>
    <xf numFmtId="0" fontId="2" fillId="0" borderId="0" xfId="12" applyFont="1" applyBorder="1"/>
    <xf numFmtId="179" fontId="34" fillId="3" borderId="0" xfId="0" applyNumberFormat="1" applyFont="1" applyFill="1" applyBorder="1"/>
    <xf numFmtId="0" fontId="81" fillId="2" borderId="0" xfId="12" applyFill="1"/>
    <xf numFmtId="181" fontId="0" fillId="2" borderId="0" xfId="1" applyNumberFormat="1" applyFont="1" applyFill="1" applyBorder="1"/>
    <xf numFmtId="179" fontId="34" fillId="2" borderId="0" xfId="0" applyNumberFormat="1" applyFont="1" applyFill="1"/>
    <xf numFmtId="0" fontId="2" fillId="2" borderId="0" xfId="12" applyFont="1" applyFill="1" applyBorder="1"/>
    <xf numFmtId="179" fontId="34" fillId="2" borderId="0" xfId="0" applyNumberFormat="1" applyFont="1" applyFill="1" applyBorder="1"/>
    <xf numFmtId="0" fontId="81" fillId="2" borderId="0" xfId="12" applyFill="1" applyBorder="1"/>
    <xf numFmtId="0" fontId="81" fillId="6" borderId="0" xfId="12" applyFill="1" applyBorder="1"/>
    <xf numFmtId="0" fontId="10" fillId="6" borderId="0" xfId="0" applyFont="1" applyFill="1" applyBorder="1"/>
    <xf numFmtId="0" fontId="10" fillId="2" borderId="0" xfId="0" applyFont="1" applyFill="1" applyBorder="1"/>
    <xf numFmtId="0" fontId="81" fillId="2" borderId="0" xfId="12" applyFill="1" applyAlignment="1">
      <alignment vertical="center"/>
    </xf>
    <xf numFmtId="0" fontId="81" fillId="4" borderId="59" xfId="12" applyFill="1" applyBorder="1" applyAlignment="1">
      <alignment vertical="center"/>
    </xf>
    <xf numFmtId="0" fontId="81" fillId="4" borderId="60" xfId="12" applyFill="1" applyBorder="1" applyAlignment="1">
      <alignment vertical="center"/>
    </xf>
    <xf numFmtId="0" fontId="56" fillId="4" borderId="60" xfId="12" applyFont="1" applyFill="1" applyBorder="1" applyAlignment="1">
      <alignment vertical="center"/>
    </xf>
    <xf numFmtId="0" fontId="62" fillId="4" borderId="61" xfId="12" applyFont="1" applyFill="1" applyBorder="1" applyAlignment="1">
      <alignment horizontal="centerContinuous" vertical="center"/>
    </xf>
    <xf numFmtId="0" fontId="63" fillId="4" borderId="61" xfId="12" applyFont="1" applyFill="1" applyBorder="1" applyAlignment="1">
      <alignment horizontal="centerContinuous" vertical="center"/>
    </xf>
    <xf numFmtId="0" fontId="81" fillId="4" borderId="62" xfId="12" applyFill="1" applyBorder="1" applyAlignment="1">
      <alignment vertical="center"/>
    </xf>
    <xf numFmtId="0" fontId="81" fillId="4" borderId="63" xfId="12" applyFill="1" applyBorder="1" applyAlignment="1">
      <alignment vertical="center"/>
    </xf>
    <xf numFmtId="0" fontId="51" fillId="4" borderId="0" xfId="12" applyFont="1" applyFill="1" applyBorder="1" applyAlignment="1">
      <alignment vertical="center"/>
    </xf>
    <xf numFmtId="0" fontId="81" fillId="4" borderId="64" xfId="12" applyFill="1" applyBorder="1" applyAlignment="1">
      <alignment vertical="center"/>
    </xf>
    <xf numFmtId="0" fontId="81" fillId="5" borderId="14" xfId="12" applyFill="1" applyBorder="1"/>
    <xf numFmtId="0" fontId="81" fillId="5" borderId="0" xfId="12" applyFill="1" applyBorder="1"/>
    <xf numFmtId="170" fontId="10" fillId="5" borderId="0" xfId="0" applyNumberFormat="1" applyFont="1" applyFill="1" applyBorder="1"/>
    <xf numFmtId="199" fontId="10" fillId="5" borderId="0" xfId="0" applyNumberFormat="1" applyFont="1" applyFill="1" applyBorder="1" applyAlignment="1">
      <alignment horizontal="right"/>
    </xf>
    <xf numFmtId="0" fontId="10" fillId="5" borderId="0" xfId="0" applyFont="1" applyFill="1" applyBorder="1"/>
    <xf numFmtId="0" fontId="10" fillId="5" borderId="18" xfId="0" applyFont="1" applyFill="1" applyBorder="1"/>
    <xf numFmtId="0" fontId="81" fillId="6" borderId="14" xfId="12" applyFill="1" applyBorder="1"/>
    <xf numFmtId="170" fontId="10" fillId="6" borderId="0" xfId="0" applyNumberFormat="1" applyFont="1" applyFill="1" applyBorder="1"/>
    <xf numFmtId="199" fontId="10" fillId="6" borderId="0" xfId="0" applyNumberFormat="1" applyFont="1" applyFill="1" applyBorder="1" applyAlignment="1">
      <alignment horizontal="right"/>
    </xf>
    <xf numFmtId="0" fontId="10" fillId="6" borderId="18" xfId="0" applyFont="1" applyFill="1" applyBorder="1"/>
    <xf numFmtId="0" fontId="81" fillId="2" borderId="14" xfId="12" applyFill="1" applyBorder="1"/>
    <xf numFmtId="0" fontId="1" fillId="0" borderId="0" xfId="12" applyFont="1" applyBorder="1"/>
    <xf numFmtId="170" fontId="10" fillId="2" borderId="0" xfId="0" applyNumberFormat="1" applyFont="1" applyFill="1" applyBorder="1"/>
    <xf numFmtId="199" fontId="10" fillId="2" borderId="0" xfId="0" applyNumberFormat="1" applyFont="1" applyFill="1" applyBorder="1" applyAlignment="1">
      <alignment horizontal="right"/>
    </xf>
    <xf numFmtId="0" fontId="10" fillId="2" borderId="18" xfId="0" applyFont="1" applyFill="1" applyBorder="1"/>
    <xf numFmtId="0" fontId="12" fillId="0" borderId="0" xfId="12" applyFont="1" applyBorder="1"/>
    <xf numFmtId="0" fontId="58" fillId="0" borderId="0" xfId="12" applyFont="1" applyBorder="1"/>
    <xf numFmtId="0" fontId="81" fillId="0" borderId="59" xfId="12" applyBorder="1" applyAlignment="1">
      <alignment vertical="center"/>
    </xf>
    <xf numFmtId="0" fontId="81" fillId="0" borderId="60" xfId="12" applyBorder="1" applyAlignment="1">
      <alignment vertical="center"/>
    </xf>
    <xf numFmtId="0" fontId="8" fillId="0" borderId="65" xfId="12" applyFont="1" applyBorder="1" applyAlignment="1">
      <alignment horizontal="centerContinuous" vertical="center"/>
    </xf>
    <xf numFmtId="0" fontId="20" fillId="0" borderId="65" xfId="12" applyFont="1" applyBorder="1" applyAlignment="1">
      <alignment horizontal="centerContinuous" vertical="center"/>
    </xf>
    <xf numFmtId="0" fontId="81" fillId="0" borderId="62" xfId="12" applyBorder="1" applyAlignment="1">
      <alignment vertical="center"/>
    </xf>
    <xf numFmtId="170" fontId="10" fillId="0" borderId="0" xfId="0" applyNumberFormat="1" applyFont="1" applyBorder="1"/>
    <xf numFmtId="199" fontId="10" fillId="0" borderId="0" xfId="0" applyNumberFormat="1" applyFont="1" applyBorder="1" applyAlignment="1">
      <alignment horizontal="right"/>
    </xf>
    <xf numFmtId="0" fontId="10" fillId="0" borderId="0" xfId="0" applyFont="1" applyBorder="1"/>
    <xf numFmtId="0" fontId="81" fillId="0" borderId="0" xfId="12" applyBorder="1" applyAlignment="1">
      <alignment vertical="center"/>
    </xf>
    <xf numFmtId="0" fontId="12" fillId="0" borderId="3" xfId="12" applyFont="1" applyBorder="1"/>
    <xf numFmtId="0" fontId="81" fillId="2" borderId="3" xfId="12" applyFill="1" applyBorder="1"/>
    <xf numFmtId="0" fontId="91" fillId="7" borderId="59" xfId="12" applyFont="1" applyFill="1" applyBorder="1"/>
    <xf numFmtId="0" fontId="91" fillId="7" borderId="60" xfId="12" applyFont="1" applyFill="1" applyBorder="1"/>
    <xf numFmtId="0" fontId="91" fillId="7" borderId="62" xfId="12" applyFont="1" applyFill="1" applyBorder="1"/>
    <xf numFmtId="0" fontId="91" fillId="7" borderId="14" xfId="12" applyFont="1" applyFill="1" applyBorder="1"/>
    <xf numFmtId="0" fontId="91" fillId="7" borderId="0" xfId="12" applyFont="1" applyFill="1" applyBorder="1"/>
    <xf numFmtId="0" fontId="91" fillId="7" borderId="18" xfId="12" applyFont="1" applyFill="1" applyBorder="1"/>
    <xf numFmtId="0" fontId="91" fillId="7" borderId="15" xfId="12" applyFont="1" applyFill="1" applyBorder="1"/>
    <xf numFmtId="0" fontId="91" fillId="7" borderId="3" xfId="12" applyFont="1" applyFill="1" applyBorder="1"/>
    <xf numFmtId="0" fontId="91" fillId="7" borderId="19" xfId="12" applyFont="1" applyFill="1" applyBorder="1"/>
  </cellXfs>
  <cellStyles count="16">
    <cellStyle name="Across" xfId="8" xr:uid="{00000000-0005-0000-0000-000036000000}"/>
    <cellStyle name="Bottom" xfId="6" xr:uid="{00000000-0005-0000-0000-000034000000}"/>
    <cellStyle name="Center" xfId="14" xr:uid="{00000000-0005-0000-0000-00003C000000}"/>
    <cellStyle name="Currency [2]" xfId="5" xr:uid="{00000000-0005-0000-0000-000033000000}"/>
    <cellStyle name="Double" xfId="13" xr:uid="{00000000-0005-0000-0000-00003B000000}"/>
    <cellStyle name="Milliers" xfId="1" builtinId="3"/>
    <cellStyle name="Monétaire" xfId="15" builtinId="4"/>
    <cellStyle name="Normal" xfId="0" builtinId="0"/>
    <cellStyle name="Normal 2" xfId="7" xr:uid="{00000000-0005-0000-0000-000035000000}"/>
    <cellStyle name="Normal_DrydenNewDCF3" xfId="12" xr:uid="{00000000-0005-0000-0000-00003A000000}"/>
    <cellStyle name="Normal_Inverness Drive Model 4-26-02" xfId="4" xr:uid="{00000000-0005-0000-0000-000032000000}"/>
    <cellStyle name="Normal_TrainingDCF1" xfId="9" xr:uid="{00000000-0005-0000-0000-000037000000}"/>
    <cellStyle name="Numbers" xfId="3" xr:uid="{00000000-0005-0000-0000-000031000000}"/>
    <cellStyle name="Numbers - Bold - Italic" xfId="11" xr:uid="{00000000-0005-0000-0000-000039000000}"/>
    <cellStyle name="Outline" xfId="10" xr:uid="{00000000-0005-0000-0000-000038000000}"/>
    <cellStyle name="Pourcentage" xfId="2" builtinId="5"/>
  </cellStyles>
  <dxfs count="6">
    <dxf>
      <font>
        <b/>
        <i val="0"/>
      </font>
      <fill>
        <patternFill patternType="solid">
          <bgColor indexed="44"/>
        </patternFill>
      </fill>
    </dxf>
    <dxf>
      <font>
        <b/>
        <i val="0"/>
      </font>
      <fill>
        <patternFill patternType="solid">
          <bgColor indexed="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indexed="44"/>
        </patternFill>
      </fill>
    </dxf>
  </dxfs>
  <tableStyles count="0" defaultTableStyle="TableStyleMedium9" defaultPivotStyle="PivotStyleLight16"/>
  <colors>
    <mruColors>
      <color rgb="FF008ED6"/>
      <color rgb="FF5B77CC"/>
      <color rgb="FFFFFF99"/>
      <color rgb="FF002F6C"/>
      <color rgb="FF009966"/>
      <color rgb="FF6B72A9"/>
      <color rgb="FF6B729F"/>
      <color rgb="FF4586BB"/>
      <color rgb="FF827F81"/>
      <color rgb="FF00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fr-FR"/>
              <a:t>Capital</a:t>
            </a:r>
            <a:r>
              <a:rPr lang="fr-FR" baseline="0"/>
              <a:t> Structure Decomposition in MUSD</a:t>
            </a:r>
            <a:endParaRPr lang="fr-FR"/>
          </a:p>
        </c:rich>
      </c:tx>
      <c:layout>
        <c:manualLayout>
          <c:xMode val="edge"/>
          <c:yMode val="edge"/>
          <c:x val="0.22615288713910764"/>
          <c:y val="6.04720764071157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"/>
          <c:y val="0.20299164916282972"/>
          <c:w val="1"/>
          <c:h val="0.699324421446025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Summary!$E$73</c:f>
              <c:strCache>
                <c:ptCount val="1"/>
                <c:pt idx="0">
                  <c:v>Senior Secured Term Debt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Summary!$H$69:$O$69</c:f>
              <c:numCache>
                <c:formatCode>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General">
                  <c:v>2023</c:v>
                </c:pt>
                <c:pt idx="4" formatCode="General">
                  <c:v>2024</c:v>
                </c:pt>
                <c:pt idx="5" formatCode="General">
                  <c:v>2025</c:v>
                </c:pt>
                <c:pt idx="6" formatCode="General">
                  <c:v>2026</c:v>
                </c:pt>
                <c:pt idx="7" formatCode="General">
                  <c:v>2027</c:v>
                </c:pt>
              </c:numCache>
            </c:numRef>
          </c:cat>
          <c:val>
            <c:numRef>
              <c:f>Summary!$H$73:$O$73</c:f>
              <c:numCache>
                <c:formatCode>"$"#\ ##0_);\("$"#\ ##0\)</c:formatCode>
                <c:ptCount val="8"/>
                <c:pt idx="0">
                  <c:v>250</c:v>
                </c:pt>
                <c:pt idx="1">
                  <c:v>225</c:v>
                </c:pt>
                <c:pt idx="2">
                  <c:v>200</c:v>
                </c:pt>
                <c:pt idx="3">
                  <c:v>175</c:v>
                </c:pt>
                <c:pt idx="4">
                  <c:v>150</c:v>
                </c:pt>
                <c:pt idx="5">
                  <c:v>125</c:v>
                </c:pt>
                <c:pt idx="6">
                  <c:v>100</c:v>
                </c:pt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1-46E8-9F5F-418BD884F885}"/>
            </c:ext>
          </c:extLst>
        </c:ser>
        <c:ser>
          <c:idx val="1"/>
          <c:order val="1"/>
          <c:tx>
            <c:strRef>
              <c:f>Summary!$E$77</c:f>
              <c:strCache>
                <c:ptCount val="1"/>
                <c:pt idx="0">
                  <c:v>Bank Debt - Revolver</c:v>
                </c:pt>
              </c:strCache>
            </c:strRef>
          </c:tx>
          <c:spPr>
            <a:solidFill>
              <a:srgbClr val="666699"/>
            </a:solidFill>
            <a:ln w="25400">
              <a:noFill/>
            </a:ln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chemeClr val="bg1"/>
                    </a:solidFill>
                    <a:latin typeface="Verdana"/>
                    <a:ea typeface="Verdana"/>
                    <a:cs typeface="Verdana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Summary!$H$69:$O$69</c:f>
              <c:numCache>
                <c:formatCode>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General">
                  <c:v>2023</c:v>
                </c:pt>
                <c:pt idx="4" formatCode="General">
                  <c:v>2024</c:v>
                </c:pt>
                <c:pt idx="5" formatCode="General">
                  <c:v>2025</c:v>
                </c:pt>
                <c:pt idx="6" formatCode="General">
                  <c:v>2026</c:v>
                </c:pt>
                <c:pt idx="7" formatCode="General">
                  <c:v>2027</c:v>
                </c:pt>
              </c:numCache>
            </c:numRef>
          </c:cat>
          <c:val>
            <c:numRef>
              <c:f>Summary!$H$77:$O$77</c:f>
              <c:numCache>
                <c:formatCode>"$"#\ ##0_);\("$"#\ ##0\)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1.0770176226248356</c:v>
                </c:pt>
                <c:pt idx="4">
                  <c:v>7.7435850932843859</c:v>
                </c:pt>
                <c:pt idx="5">
                  <c:v>1.2289546319609022</c:v>
                </c:pt>
                <c:pt idx="6">
                  <c:v>0</c:v>
                </c:pt>
                <c:pt idx="7">
                  <c:v>2.6139755760435204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1-46E8-9F5F-418BD884F885}"/>
            </c:ext>
          </c:extLst>
        </c:ser>
        <c:ser>
          <c:idx val="2"/>
          <c:order val="2"/>
          <c:tx>
            <c:strRef>
              <c:f>Summary!$E$81</c:f>
              <c:strCache>
                <c:ptCount val="1"/>
                <c:pt idx="0">
                  <c:v>Shareholder's Equity</c:v>
                </c:pt>
              </c:strCache>
            </c:strRef>
          </c:tx>
          <c:spPr>
            <a:solidFill>
              <a:srgbClr val="00B0F0"/>
            </a:solidFill>
            <a:ln w="12700">
              <a:noFill/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Summary!$H$69:$O$69</c:f>
              <c:numCache>
                <c:formatCode>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General">
                  <c:v>2023</c:v>
                </c:pt>
                <c:pt idx="4" formatCode="General">
                  <c:v>2024</c:v>
                </c:pt>
                <c:pt idx="5" formatCode="General">
                  <c:v>2025</c:v>
                </c:pt>
                <c:pt idx="6" formatCode="General">
                  <c:v>2026</c:v>
                </c:pt>
                <c:pt idx="7" formatCode="General">
                  <c:v>2027</c:v>
                </c:pt>
              </c:numCache>
            </c:numRef>
          </c:cat>
          <c:val>
            <c:numRef>
              <c:f>Summary!$H$81:$O$81</c:f>
              <c:numCache>
                <c:formatCode>"$"#\ ##0_);\("$"#\ ##0\)</c:formatCode>
                <c:ptCount val="8"/>
                <c:pt idx="0">
                  <c:v>239.7</c:v>
                </c:pt>
                <c:pt idx="1">
                  <c:v>258.7</c:v>
                </c:pt>
                <c:pt idx="2">
                  <c:v>258.5</c:v>
                </c:pt>
                <c:pt idx="3">
                  <c:v>282.26429913978495</c:v>
                </c:pt>
                <c:pt idx="4">
                  <c:v>292.57132912071171</c:v>
                </c:pt>
                <c:pt idx="5">
                  <c:v>323.613216607862</c:v>
                </c:pt>
                <c:pt idx="6">
                  <c:v>350.26831987666549</c:v>
                </c:pt>
                <c:pt idx="7">
                  <c:v>365.80284974674549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51-46E8-9F5F-418BD884F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600253928"/>
        <c:axId val="600254320"/>
      </c:barChart>
      <c:catAx>
        <c:axId val="600253928"/>
        <c:scaling>
          <c:orientation val="minMax"/>
        </c:scaling>
        <c:delete val="0"/>
        <c:axPos val="b"/>
        <c:title>
          <c:tx>
            <c:strRef>
              <c:f/>
            </c:strRef>
          </c:tx>
          <c:layout>
            <c:manualLayout>
              <c:xMode val="edge"/>
              <c:yMode val="edge"/>
              <c:x val="0.40879631403383665"/>
              <c:y val="7.7286887008721827E-2"/>
            </c:manualLayout>
          </c:layout>
          <c:overlay val="0"/>
          <c:txPr>
            <a:bodyPr/>
            <a:lstStyle/>
            <a:p>
              <a:pPr>
                <a:defRPr sz="1000"/>
              </a:pPr>
              <a:endParaRPr lang="fr-FR"/>
            </a:p>
          </c:txPr>
        </c:title>
        <c:numFmt formatCode="0\A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6002543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00254320"/>
        <c:scaling>
          <c:orientation val="minMax"/>
          <c:min val="0"/>
        </c:scaling>
        <c:delete val="0"/>
        <c:axPos val="l"/>
        <c:numFmt formatCode="&quot;$&quot;#\ ##0_);\(&quot;$&quot;#\ ##0\)" sourceLinked="1"/>
        <c:majorTickMark val="none"/>
        <c:minorTickMark val="none"/>
        <c:tickLblPos val="none"/>
        <c:spPr>
          <a:ln w="9525">
            <a:noFill/>
          </a:ln>
        </c:spPr>
        <c:crossAx val="6002539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6975058180276658E-2"/>
          <c:y val="0.15973155496952945"/>
          <c:w val="0.83386449034296239"/>
          <c:h val="8.252439297106038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  <c:printSettings>
    <c:headerFooter>
      <c:oddHeader>&amp;A</c:oddHeader>
      <c:oddFooter>Page &amp;P</c:oddFooter>
    </c:headerFooter>
    <c:pageMargins b="0.75000000000000633" l="0.70000000000000062" r="0.70000000000000062" t="0.75000000000000633" header="0.30000000000000032" footer="0.3000000000000003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950"/>
            </a:pPr>
            <a:r>
              <a:rPr lang="fr-FR"/>
              <a:t>Evolution of projected net revenue in MUSD according</a:t>
            </a:r>
            <a:r>
              <a:rPr lang="fr-FR" baseline="0"/>
              <a:t> to the three scenarios</a:t>
            </a:r>
            <a:endParaRPr lang="fr-FR"/>
          </a:p>
        </c:rich>
      </c:tx>
      <c:layout>
        <c:manualLayout>
          <c:xMode val="edge"/>
          <c:yMode val="edge"/>
          <c:x val="0.23173907802234534"/>
          <c:y val="3.144970840458784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.19587435369613779"/>
          <c:w val="1"/>
          <c:h val="0.70448211933705496"/>
        </c:manualLayout>
      </c:layout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tx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tx2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Summary!$K$12:$O$12</c:f>
              <c:numCache>
                <c:formatCode>"$"#\ ##0_);\("$"#\ ##0\)</c:formatCode>
                <c:ptCount val="5"/>
                <c:pt idx="0">
                  <c:v>252.46209677419353</c:v>
                </c:pt>
                <c:pt idx="1">
                  <c:v>233.58111483870971</c:v>
                </c:pt>
                <c:pt idx="2">
                  <c:v>281.23110855638714</c:v>
                </c:pt>
                <c:pt idx="3">
                  <c:v>281.22955436627001</c:v>
                </c:pt>
                <c:pt idx="4">
                  <c:v>268.17287049000004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C-4D2F-B75B-E1AAB5A93949}"/>
            </c:ext>
          </c:extLst>
        </c:ser>
        <c:ser>
          <c:idx val="1"/>
          <c:order val="1"/>
          <c:tx>
            <c:v>BEST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C000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Summary!$K$33:$O$33</c:f>
              <c:numCache>
                <c:formatCode>"$"#\ ##0_);\("$"#\ ##0\)</c:formatCode>
                <c:ptCount val="5"/>
                <c:pt idx="0">
                  <c:v>264.10862903225802</c:v>
                </c:pt>
                <c:pt idx="1">
                  <c:v>244.64311560000002</c:v>
                </c:pt>
                <c:pt idx="2">
                  <c:v>297.21531508419486</c:v>
                </c:pt>
                <c:pt idx="3">
                  <c:v>300.41838123259203</c:v>
                </c:pt>
                <c:pt idx="4">
                  <c:v>281.50084467066245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E7-4ACF-B828-68F3A1A7CC3D}"/>
            </c:ext>
          </c:extLst>
        </c:ser>
        <c:ser>
          <c:idx val="2"/>
          <c:order val="2"/>
          <c:tx>
            <c:v>WORST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Summary!$K$53:$O$53</c:f>
              <c:numCache>
                <c:formatCode>"$"#\ ##0_);\("$"#\ ##0\)</c:formatCode>
                <c:ptCount val="5"/>
                <c:pt idx="0">
                  <c:v>238.41460829493093</c:v>
                </c:pt>
                <c:pt idx="1">
                  <c:v>220.17078571428573</c:v>
                </c:pt>
                <c:pt idx="2">
                  <c:v>262.60854165748856</c:v>
                </c:pt>
                <c:pt idx="3">
                  <c:v>259.93619218654328</c:v>
                </c:pt>
                <c:pt idx="4">
                  <c:v>244.66998081661546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E7-4ACF-B828-68F3A1A7CC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687172000"/>
        <c:axId val="687172392"/>
      </c:barChart>
      <c:catAx>
        <c:axId val="687172000"/>
        <c:scaling>
          <c:orientation val="minMax"/>
        </c:scaling>
        <c:delete val="0"/>
        <c:axPos val="b"/>
        <c:title>
          <c:tx>
            <c:strRef>
              <c:f/>
            </c:strRef>
          </c:tx>
          <c:layout>
            <c:manualLayout>
              <c:xMode val="edge"/>
              <c:yMode val="edge"/>
              <c:x val="0.38274926437135459"/>
              <c:y val="7.401209602085658E-2"/>
            </c:manualLayout>
          </c:layout>
          <c:overlay val="0"/>
          <c:txPr>
            <a:bodyPr/>
            <a:lstStyle/>
            <a:p>
              <a:pPr>
                <a:defRPr b="0"/>
              </a:pPr>
              <a:endParaRPr lang="fr-FR"/>
            </a:p>
          </c:txPr>
        </c:title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fr-FR"/>
          </a:p>
        </c:txPr>
        <c:crossAx val="687172392"/>
        <c:crosses val="autoZero"/>
        <c:auto val="1"/>
        <c:lblAlgn val="ctr"/>
        <c:lblOffset val="100"/>
        <c:noMultiLvlLbl val="0"/>
      </c:catAx>
      <c:valAx>
        <c:axId val="687172392"/>
        <c:scaling>
          <c:orientation val="minMax"/>
          <c:min val="0"/>
        </c:scaling>
        <c:delete val="1"/>
        <c:axPos val="l"/>
        <c:numFmt formatCode="&quot;$&quot;#\ ##0_);\(&quot;$&quot;#\ ##0\)" sourceLinked="1"/>
        <c:majorTickMark val="out"/>
        <c:minorTickMark val="none"/>
        <c:tickLblPos val="nextTo"/>
        <c:crossAx val="68717200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190612003353442"/>
          <c:y val="0.11933174224343675"/>
          <c:w val="0.25794141337760756"/>
          <c:h val="7.1732158181897904E-2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Verdana" pitchFamily="34" charset="0"/>
          <a:ea typeface="Verdana" pitchFamily="34" charset="0"/>
          <a:cs typeface="Verdana" pitchFamily="34" charset="0"/>
        </a:defRPr>
      </a:pPr>
      <a:endParaRPr lang="fr-F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950"/>
            </a:pPr>
            <a:r>
              <a:rPr lang="fr-FR"/>
              <a:t>Evolution of projected EBITDA in MUSD according</a:t>
            </a:r>
            <a:r>
              <a:rPr lang="fr-FR" baseline="0"/>
              <a:t> to the three scenarios</a:t>
            </a:r>
            <a:endParaRPr lang="fr-FR"/>
          </a:p>
        </c:rich>
      </c:tx>
      <c:layout>
        <c:manualLayout>
          <c:xMode val="edge"/>
          <c:yMode val="edge"/>
          <c:x val="0.23173907802234534"/>
          <c:y val="3.144970840458784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.19587435369613779"/>
          <c:w val="1"/>
          <c:h val="0.70448211933705496"/>
        </c:manualLayout>
      </c:layout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tx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tx2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Summary!$K$16:$O$16</c:f>
              <c:numCache>
                <c:formatCode>"$"#\ ##0_);\("$"#\ ##0\)</c:formatCode>
                <c:ptCount val="5"/>
                <c:pt idx="0">
                  <c:v>73.875241935483842</c:v>
                </c:pt>
                <c:pt idx="1">
                  <c:v>47.11049922580645</c:v>
                </c:pt>
                <c:pt idx="2">
                  <c:v>86.456885914219384</c:v>
                </c:pt>
                <c:pt idx="3">
                  <c:v>76.709884589719195</c:v>
                </c:pt>
                <c:pt idx="4">
                  <c:v>54.342095904000075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5-40E4-954E-9BB60A95D4C3}"/>
            </c:ext>
          </c:extLst>
        </c:ser>
        <c:ser>
          <c:idx val="1"/>
          <c:order val="1"/>
          <c:tx>
            <c:v>BEST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C000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Summary!$K$37:$O$37</c:f>
              <c:numCache>
                <c:formatCode>"$"#\ ##0_);\("$"#\ ##0\)</c:formatCode>
                <c:ptCount val="5"/>
                <c:pt idx="0">
                  <c:v>85.521774193548339</c:v>
                </c:pt>
                <c:pt idx="1">
                  <c:v>58.538128645161294</c:v>
                </c:pt>
                <c:pt idx="2">
                  <c:v>102.06509550816776</c:v>
                </c:pt>
                <c:pt idx="3">
                  <c:v>95.265445066266977</c:v>
                </c:pt>
                <c:pt idx="4">
                  <c:v>70.58071270915201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5-40E4-954E-9BB60A95D4C3}"/>
            </c:ext>
          </c:extLst>
        </c:ser>
        <c:ser>
          <c:idx val="2"/>
          <c:order val="2"/>
          <c:tx>
            <c:v>WORST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Summary!$K$57:$O$57</c:f>
              <c:numCache>
                <c:formatCode>"$"#\ ##0_);\("$"#\ ##0\)</c:formatCode>
                <c:ptCount val="5"/>
                <c:pt idx="0">
                  <c:v>60.834294930875643</c:v>
                </c:pt>
                <c:pt idx="1">
                  <c:v>33.859071668202773</c:v>
                </c:pt>
                <c:pt idx="2">
                  <c:v>68.207666428336495</c:v>
                </c:pt>
                <c:pt idx="3">
                  <c:v>57.052627960241011</c:v>
                </c:pt>
                <c:pt idx="4">
                  <c:v>34.164573612547684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5-40E4-954E-9BB60A95D4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687172000"/>
        <c:axId val="687172392"/>
      </c:barChart>
      <c:catAx>
        <c:axId val="687172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fr-FR"/>
          </a:p>
        </c:txPr>
        <c:crossAx val="687172392"/>
        <c:crosses val="autoZero"/>
        <c:auto val="1"/>
        <c:lblAlgn val="ctr"/>
        <c:lblOffset val="100"/>
        <c:noMultiLvlLbl val="0"/>
      </c:catAx>
      <c:valAx>
        <c:axId val="687172392"/>
        <c:scaling>
          <c:orientation val="minMax"/>
          <c:min val="0"/>
        </c:scaling>
        <c:delete val="1"/>
        <c:axPos val="l"/>
        <c:numFmt formatCode="&quot;$&quot;#\ ##0_);\(&quot;$&quot;#\ ##0\)" sourceLinked="1"/>
        <c:majorTickMark val="out"/>
        <c:minorTickMark val="none"/>
        <c:tickLblPos val="nextTo"/>
        <c:crossAx val="68717200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190612003353442"/>
          <c:y val="0.11933174224343675"/>
          <c:w val="0.25794141337760756"/>
          <c:h val="7.1732158181897904E-2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Verdana" pitchFamily="34" charset="0"/>
          <a:ea typeface="Verdana" pitchFamily="34" charset="0"/>
          <a:cs typeface="Verdana" pitchFamily="34" charset="0"/>
        </a:defRPr>
      </a:pPr>
      <a:endParaRPr lang="fr-F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950"/>
            </a:pPr>
            <a:r>
              <a:rPr lang="fr-FR"/>
              <a:t>Evolution of projected Net Income in MUSD according</a:t>
            </a:r>
            <a:r>
              <a:rPr lang="fr-FR" baseline="0"/>
              <a:t> to the three scenarios</a:t>
            </a:r>
            <a:endParaRPr lang="fr-FR"/>
          </a:p>
        </c:rich>
      </c:tx>
      <c:layout>
        <c:manualLayout>
          <c:xMode val="edge"/>
          <c:yMode val="edge"/>
          <c:x val="0.23173907802234534"/>
          <c:y val="3.144970840458784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.19587435369613779"/>
          <c:w val="1"/>
          <c:h val="0.70448211933705496"/>
        </c:manualLayout>
      </c:layout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tx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tx2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Summary!$K$21:$O$21</c:f>
              <c:numCache>
                <c:formatCode>"$"#\ ##0_);\("$"#\ ##0\)</c:formatCode>
                <c:ptCount val="5"/>
                <c:pt idx="0">
                  <c:v>29.705373924731163</c:v>
                </c:pt>
                <c:pt idx="1">
                  <c:v>12.883787476158492</c:v>
                </c:pt>
                <c:pt idx="2">
                  <c:v>38.802359358937842</c:v>
                </c:pt>
                <c:pt idx="3">
                  <c:v>33.318879086004337</c:v>
                </c:pt>
                <c:pt idx="4">
                  <c:v>19.418162337600048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B-4ECA-BF75-FAFB42FAA2A1}"/>
            </c:ext>
          </c:extLst>
        </c:ser>
        <c:ser>
          <c:idx val="1"/>
          <c:order val="1"/>
          <c:tx>
            <c:v>BEST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C000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Summary!$K$42:$O$42</c:f>
              <c:numCache>
                <c:formatCode>"$"#\ ##0_);\("$"#\ ##0\)</c:formatCode>
                <c:ptCount val="5"/>
                <c:pt idx="0">
                  <c:v>37.275619892473088</c:v>
                </c:pt>
                <c:pt idx="1">
                  <c:v>20.353750286021508</c:v>
                </c:pt>
                <c:pt idx="2">
                  <c:v>49.249695413642371</c:v>
                </c:pt>
                <c:pt idx="3">
                  <c:v>45.427922626406868</c:v>
                </c:pt>
                <c:pt idx="4">
                  <c:v>29.973263260948805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B-4ECA-BF75-FAFB42FAA2A1}"/>
            </c:ext>
          </c:extLst>
        </c:ser>
        <c:ser>
          <c:idx val="2"/>
          <c:order val="2"/>
          <c:tx>
            <c:v>WORST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Summary!$K$7:$O$7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Summary!$K$62:$O$62</c:f>
              <c:numCache>
                <c:formatCode>"$"#\ ##0_);\("$"#\ ##0\)</c:formatCode>
                <c:ptCount val="5"/>
                <c:pt idx="0">
                  <c:v>21.228758371735836</c:v>
                </c:pt>
                <c:pt idx="1">
                  <c:v>4.0836355136990585</c:v>
                </c:pt>
                <c:pt idx="2">
                  <c:v>26.465118684638874</c:v>
                </c:pt>
                <c:pt idx="3">
                  <c:v>19.699196132395553</c:v>
                </c:pt>
                <c:pt idx="4">
                  <c:v>5.1078376959365208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B-4ECA-BF75-FAFB42FAA2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687172000"/>
        <c:axId val="687172392"/>
      </c:barChart>
      <c:catAx>
        <c:axId val="687172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fr-FR"/>
          </a:p>
        </c:txPr>
        <c:crossAx val="687172392"/>
        <c:crosses val="autoZero"/>
        <c:auto val="1"/>
        <c:lblAlgn val="ctr"/>
        <c:lblOffset val="100"/>
        <c:noMultiLvlLbl val="0"/>
      </c:catAx>
      <c:valAx>
        <c:axId val="687172392"/>
        <c:scaling>
          <c:orientation val="minMax"/>
          <c:min val="0"/>
        </c:scaling>
        <c:delete val="1"/>
        <c:axPos val="l"/>
        <c:numFmt formatCode="&quot;$&quot;#\ ##0_);\(&quot;$&quot;#\ ##0\)" sourceLinked="1"/>
        <c:majorTickMark val="out"/>
        <c:minorTickMark val="none"/>
        <c:tickLblPos val="nextTo"/>
        <c:crossAx val="68717200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190612003353442"/>
          <c:y val="0.11933174224343675"/>
          <c:w val="0.25794141337760756"/>
          <c:h val="7.1732158181897904E-2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Verdana" pitchFamily="34" charset="0"/>
          <a:ea typeface="Verdana" pitchFamily="34" charset="0"/>
          <a:cs typeface="Verdana" pitchFamily="34" charset="0"/>
        </a:defRPr>
      </a:pPr>
      <a:endParaRPr lang="fr-F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fr-FR" b="1"/>
              <a:t>Evolution</a:t>
            </a:r>
            <a:r>
              <a:rPr lang="fr-FR" b="1" baseline="0"/>
              <a:t> of projected EBITDA Margin according to the three scenarios</a:t>
            </a:r>
            <a:endParaRPr lang="fr-FR" b="1"/>
          </a:p>
        </c:rich>
      </c:tx>
      <c:layout>
        <c:manualLayout>
          <c:xMode val="edge"/>
          <c:yMode val="edge"/>
          <c:x val="0.12743277828176566"/>
          <c:y val="4.9412518273699165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991859456168063E-3"/>
          <c:y val="0.2089850954748203"/>
          <c:w val="0.99290081405438324"/>
          <c:h val="0.69459636590641349"/>
        </c:manualLayout>
      </c:layout>
      <c:lineChart>
        <c:grouping val="standard"/>
        <c:varyColors val="0"/>
        <c:ser>
          <c:idx val="0"/>
          <c:order val="0"/>
          <c:tx>
            <c:v>BASE</c:v>
          </c:tx>
          <c:spPr>
            <a:ln w="25400">
              <a:solidFill>
                <a:schemeClr val="tx2">
                  <a:lumMod val="75000"/>
                </a:schemeClr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  <a:prstDash val="solid"/>
              </a:ln>
            </c:spPr>
          </c:marker>
          <c:dLbls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chemeClr val="accent1">
                        <a:lumMod val="50000"/>
                      </a:schemeClr>
                    </a:solidFill>
                    <a:latin typeface="Verdana"/>
                    <a:ea typeface="Verdana"/>
                    <a:cs typeface="Verdana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Summary!$K$28:$O$28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Summary!$K$17:$O$17</c:f>
              <c:numCache>
                <c:formatCode>0.0%;\(0.0%\)</c:formatCode>
                <c:ptCount val="5"/>
                <c:pt idx="0">
                  <c:v>0.29261914116778937</c:v>
                </c:pt>
                <c:pt idx="1">
                  <c:v>0.20168796290888824</c:v>
                </c:pt>
                <c:pt idx="2">
                  <c:v>0.30742291049528286</c:v>
                </c:pt>
                <c:pt idx="3">
                  <c:v>0.27276608520956924</c:v>
                </c:pt>
                <c:pt idx="4">
                  <c:v>0.20263830492885912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1-46D5-886F-4A653E6D59A8}"/>
            </c:ext>
          </c:extLst>
        </c:ser>
        <c:ser>
          <c:idx val="1"/>
          <c:order val="1"/>
          <c:tx>
            <c:v>BEST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C000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Summary!$K$28:$O$28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Summary!$K$38:$O$38</c:f>
              <c:numCache>
                <c:formatCode>0.0%;\(0.0%\)</c:formatCode>
                <c:ptCount val="5"/>
                <c:pt idx="0">
                  <c:v>0.3238128739182648</c:v>
                </c:pt>
                <c:pt idx="1">
                  <c:v>0.23927968911609662</c:v>
                </c:pt>
                <c:pt idx="2">
                  <c:v>0.34340456338615949</c:v>
                </c:pt>
                <c:pt idx="3">
                  <c:v>0.3171092417028567</c:v>
                </c:pt>
                <c:pt idx="4">
                  <c:v>0.25073002104745662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76-4E87-8426-EC58AE222F0C}"/>
            </c:ext>
          </c:extLst>
        </c:ser>
        <c:ser>
          <c:idx val="2"/>
          <c:order val="2"/>
          <c:tx>
            <c:v>WORST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Summary!$K$28:$O$28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Summary!$K$58:$O$58</c:f>
              <c:numCache>
                <c:formatCode>0.0%;\(0.0%\)</c:formatCode>
                <c:ptCount val="5"/>
                <c:pt idx="0">
                  <c:v>0.25516177622648251</c:v>
                </c:pt>
                <c:pt idx="1">
                  <c:v>0.15378548774468873</c:v>
                </c:pt>
                <c:pt idx="2">
                  <c:v>0.25973133241529306</c:v>
                </c:pt>
                <c:pt idx="3">
                  <c:v>0.21948704980373482</c:v>
                </c:pt>
                <c:pt idx="4">
                  <c:v>0.13963533040922843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76-4E87-8426-EC58AE222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935024"/>
        <c:axId val="597935416"/>
      </c:lineChart>
      <c:catAx>
        <c:axId val="59793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5979354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97935416"/>
        <c:scaling>
          <c:orientation val="minMax"/>
        </c:scaling>
        <c:delete val="1"/>
        <c:axPos val="l"/>
        <c:numFmt formatCode="0.0%;\(0.0%\)" sourceLinked="1"/>
        <c:majorTickMark val="out"/>
        <c:minorTickMark val="none"/>
        <c:tickLblPos val="nextTo"/>
        <c:crossAx val="5979350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5" footer="0.5"/>
    <c:pageSetup/>
  </c:printSettings>
</c:chartSpace>
</file>

<file path=xl/ctrlProps/ctrlProp1.xml><?xml version="1.0" encoding="utf-8"?>
<formControlPr xmlns="http://schemas.microsoft.com/office/spreadsheetml/2009/9/main" objectType="Drop" dropStyle="combo" dx="26" fmlaLink="$D$6" fmlaRange="$C$14:$C$16" noThreeD="1" sel="1" val="0"/>
</file>

<file path=xl/ctrlProps/ctrlProp2.xml><?xml version="1.0" encoding="utf-8"?>
<formControlPr xmlns="http://schemas.microsoft.com/office/spreadsheetml/2009/9/main" objectType="Drop" dropStyle="combo" dx="26" fmlaLink="$D$6" fmlaRange="$C$14:$C$16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254184</xdr:colOff>
      <xdr:row>1</xdr:row>
      <xdr:rowOff>20862</xdr:rowOff>
    </xdr:from>
    <xdr:to>
      <xdr:col>4</xdr:col>
      <xdr:colOff>594382</xdr:colOff>
      <xdr:row>5</xdr:row>
      <xdr:rowOff>39361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1" t="17304" r="4337" b="15213"/>
        <a:stretch>
          <a:fillRect/>
        </a:stretch>
      </xdr:blipFill>
      <xdr:spPr>
        <a:xfrm>
          <a:off x="254000" y="243840"/>
          <a:ext cx="4160520" cy="1125855"/>
        </a:xfrm>
        <a:prstGeom prst="rect">
          <a:avLst/>
        </a:prstGeom>
      </xdr:spPr>
    </xdr:pic>
    <xdr:clientData/>
  </xdr:twoCellAnchor>
  <xdr:twoCellAnchor editAs="oneCell">
    <xdr:from>
      <xdr:col>6</xdr:col>
      <xdr:colOff>789216</xdr:colOff>
      <xdr:row>23</xdr:row>
      <xdr:rowOff>226788</xdr:rowOff>
    </xdr:from>
    <xdr:to>
      <xdr:col>9</xdr:col>
      <xdr:colOff>708355</xdr:colOff>
      <xdr:row>27</xdr:row>
      <xdr:rowOff>151617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" t="22409" r="3011" b="23644"/>
        <a:stretch>
          <a:fillRect/>
        </a:stretch>
      </xdr:blipFill>
      <xdr:spPr>
        <a:xfrm>
          <a:off x="6376670" y="6231890"/>
          <a:ext cx="2571115" cy="852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68580</xdr:colOff>
      <xdr:row>126</xdr:row>
      <xdr:rowOff>15240</xdr:rowOff>
    </xdr:from>
    <xdr:to>
      <xdr:col>27</xdr:col>
      <xdr:colOff>76200</xdr:colOff>
      <xdr:row>147</xdr:row>
      <xdr:rowOff>121920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E7FDE1B-9C5F-18A6-F43A-A3D54B915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106680</xdr:colOff>
      <xdr:row>86</xdr:row>
      <xdr:rowOff>38100</xdr:rowOff>
    </xdr:from>
    <xdr:to>
      <xdr:col>14</xdr:col>
      <xdr:colOff>350520</xdr:colOff>
      <xdr:row>105</xdr:row>
      <xdr:rowOff>45720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F861826-8D07-5237-1255-E42397328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107</xdr:row>
      <xdr:rowOff>0</xdr:rowOff>
    </xdr:from>
    <xdr:to>
      <xdr:col>14</xdr:col>
      <xdr:colOff>472440</xdr:colOff>
      <xdr:row>126</xdr:row>
      <xdr:rowOff>7620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439AF63-FBA5-491E-AE1F-1B1FC2C9C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128</xdr:row>
      <xdr:rowOff>0</xdr:rowOff>
    </xdr:from>
    <xdr:to>
      <xdr:col>14</xdr:col>
      <xdr:colOff>472440</xdr:colOff>
      <xdr:row>147</xdr:row>
      <xdr:rowOff>7620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E5527C0-469C-466D-985F-53FE2F781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533400</xdr:colOff>
      <xdr:row>106</xdr:row>
      <xdr:rowOff>160020</xdr:rowOff>
    </xdr:from>
    <xdr:to>
      <xdr:col>26</xdr:col>
      <xdr:colOff>281940</xdr:colOff>
      <xdr:row>127</xdr:row>
      <xdr:rowOff>53340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C9960CA-82F4-0976-1A5A-52B4828FB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1226820</xdr:colOff>
          <xdr:row>4</xdr:row>
          <xdr:rowOff>60960</xdr:rowOff>
        </xdr:from>
        <xdr:to>
          <xdr:col>5</xdr:col>
          <xdr:colOff>259080</xdr:colOff>
          <xdr:row>6</xdr:row>
          <xdr:rowOff>53340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1226820</xdr:colOff>
          <xdr:row>4</xdr:row>
          <xdr:rowOff>60960</xdr:rowOff>
        </xdr:from>
        <xdr:to>
          <xdr:col>5</xdr:col>
          <xdr:colOff>259080</xdr:colOff>
          <xdr:row>6</xdr:row>
          <xdr:rowOff>53340</xdr:rowOff>
        </xdr:to>
        <xdr:sp macro="" textlink="">
          <xdr:nvSpPr>
            <xdr:cNvPr id="21505" name="Drop Dow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7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Syncéa">
    <a:dk1>
      <a:sysClr val="windowText" lastClr="000000"/>
    </a:dk1>
    <a:lt1>
      <a:sysClr val="window" lastClr="FFFFFF"/>
    </a:lt1>
    <a:dk2>
      <a:srgbClr val="2D2E83"/>
    </a:dk2>
    <a:lt2>
      <a:srgbClr val="F29300"/>
    </a:lt2>
    <a:accent1>
      <a:srgbClr val="006600"/>
    </a:accent1>
    <a:accent2>
      <a:srgbClr val="FFC000"/>
    </a:accent2>
    <a:accent3>
      <a:srgbClr val="92D050"/>
    </a:accent3>
    <a:accent4>
      <a:srgbClr val="C0504D"/>
    </a:accent4>
    <a:accent5>
      <a:srgbClr val="00B0F0"/>
    </a:accent5>
    <a:accent6>
      <a:srgbClr val="464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yncéa">
    <a:dk1>
      <a:sysClr val="windowText" lastClr="000000"/>
    </a:dk1>
    <a:lt1>
      <a:sysClr val="window" lastClr="FFFFFF"/>
    </a:lt1>
    <a:dk2>
      <a:srgbClr val="2D2E83"/>
    </a:dk2>
    <a:lt2>
      <a:srgbClr val="F29300"/>
    </a:lt2>
    <a:accent1>
      <a:srgbClr val="006600"/>
    </a:accent1>
    <a:accent2>
      <a:srgbClr val="FFC000"/>
    </a:accent2>
    <a:accent3>
      <a:srgbClr val="92D050"/>
    </a:accent3>
    <a:accent4>
      <a:srgbClr val="C0504D"/>
    </a:accent4>
    <a:accent5>
      <a:srgbClr val="00B0F0"/>
    </a:accent5>
    <a:accent6>
      <a:srgbClr val="464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yncéa">
    <a:dk1>
      <a:sysClr val="windowText" lastClr="000000"/>
    </a:dk1>
    <a:lt1>
      <a:sysClr val="window" lastClr="FFFFFF"/>
    </a:lt1>
    <a:dk2>
      <a:srgbClr val="2D2E83"/>
    </a:dk2>
    <a:lt2>
      <a:srgbClr val="F29300"/>
    </a:lt2>
    <a:accent1>
      <a:srgbClr val="006600"/>
    </a:accent1>
    <a:accent2>
      <a:srgbClr val="FFC000"/>
    </a:accent2>
    <a:accent3>
      <a:srgbClr val="92D050"/>
    </a:accent3>
    <a:accent4>
      <a:srgbClr val="C0504D"/>
    </a:accent4>
    <a:accent5>
      <a:srgbClr val="00B0F0"/>
    </a:accent5>
    <a:accent6>
      <a:srgbClr val="464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yncéa">
    <a:dk1>
      <a:sysClr val="windowText" lastClr="000000"/>
    </a:dk1>
    <a:lt1>
      <a:sysClr val="window" lastClr="FFFFFF"/>
    </a:lt1>
    <a:dk2>
      <a:srgbClr val="2D2E83"/>
    </a:dk2>
    <a:lt2>
      <a:srgbClr val="F29300"/>
    </a:lt2>
    <a:accent1>
      <a:srgbClr val="006600"/>
    </a:accent1>
    <a:accent2>
      <a:srgbClr val="FFC000"/>
    </a:accent2>
    <a:accent3>
      <a:srgbClr val="92D050"/>
    </a:accent3>
    <a:accent4>
      <a:srgbClr val="C0504D"/>
    </a:accent4>
    <a:accent5>
      <a:srgbClr val="00B0F0"/>
    </a:accent5>
    <a:accent6>
      <a:srgbClr val="464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yncéa">
    <a:dk1>
      <a:sysClr val="windowText" lastClr="000000"/>
    </a:dk1>
    <a:lt1>
      <a:sysClr val="window" lastClr="FFFFFF"/>
    </a:lt1>
    <a:dk2>
      <a:srgbClr val="2D2E83"/>
    </a:dk2>
    <a:lt2>
      <a:srgbClr val="F29300"/>
    </a:lt2>
    <a:accent1>
      <a:srgbClr val="006600"/>
    </a:accent1>
    <a:accent2>
      <a:srgbClr val="FFC000"/>
    </a:accent2>
    <a:accent3>
      <a:srgbClr val="92D050"/>
    </a:accent3>
    <a:accent4>
      <a:srgbClr val="C0504D"/>
    </a:accent4>
    <a:accent5>
      <a:srgbClr val="00B0F0"/>
    </a:accent5>
    <a:accent6>
      <a:srgbClr val="464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28"/>
  <sheetViews>
    <sheetView zoomScale="70" zoomScaleNormal="70" workbookViewId="0">
      <selection activeCell="F3" sqref="F3"/>
    </sheetView>
  </sheetViews>
  <sheetFormatPr baseColWidth="10" defaultColWidth="12.44140625" defaultRowHeight="15"/>
  <cols>
    <col min="1" max="1" width="5.33203125" style="533" customWidth="1"/>
    <col min="2" max="2" width="23.5546875" style="533" customWidth="1"/>
    <col min="3" max="11" width="12.44140625" style="533"/>
    <col min="12" max="12" width="2.88671875" style="533" customWidth="1"/>
    <col min="13" max="16384" width="12.44140625" style="533"/>
  </cols>
  <sheetData>
    <row r="1" spans="1:16">
      <c r="A1" s="534"/>
      <c r="B1" s="534"/>
      <c r="C1" s="534"/>
      <c r="D1" s="534"/>
      <c r="E1" s="534"/>
      <c r="F1" s="534"/>
      <c r="G1" s="534"/>
      <c r="H1" s="534"/>
      <c r="I1" s="534"/>
      <c r="J1" s="534"/>
    </row>
    <row r="4" spans="1:16" ht="30">
      <c r="D4" s="535"/>
    </row>
    <row r="6" spans="1:16" ht="22.8">
      <c r="B6" s="536" t="s">
        <v>0</v>
      </c>
      <c r="D6" s="537"/>
      <c r="M6" s="533" t="s">
        <v>1</v>
      </c>
    </row>
    <row r="7" spans="1:16">
      <c r="G7" s="546"/>
    </row>
    <row r="10" spans="1:16" ht="30">
      <c r="B10" s="538"/>
    </row>
    <row r="11" spans="1:16" ht="17.399999999999999">
      <c r="B11" s="539"/>
      <c r="C11" s="539"/>
      <c r="D11" s="539"/>
    </row>
    <row r="12" spans="1:16" ht="35.4">
      <c r="B12" s="540" t="s">
        <v>2</v>
      </c>
    </row>
    <row r="13" spans="1:16" ht="20.100000000000001" customHeight="1">
      <c r="B13" s="541">
        <f ca="1">TODAY()</f>
        <v>46215</v>
      </c>
      <c r="C13" s="539"/>
      <c r="D13" s="539"/>
    </row>
    <row r="15" spans="1:16" ht="15.9" customHeight="1">
      <c r="P15" s="548"/>
    </row>
    <row r="16" spans="1:16">
      <c r="P16" s="548"/>
    </row>
    <row r="24" spans="1:10" ht="18.899999999999999" customHeight="1">
      <c r="B24" s="542" t="s">
        <v>3</v>
      </c>
      <c r="D24" s="543"/>
      <c r="H24" s="547" t="s">
        <v>4</v>
      </c>
    </row>
    <row r="25" spans="1:10" ht="18.899999999999999" customHeight="1">
      <c r="D25" s="544"/>
    </row>
    <row r="28" spans="1:10">
      <c r="A28" s="545"/>
      <c r="B28" s="545"/>
      <c r="C28" s="545"/>
      <c r="D28" s="545"/>
      <c r="E28" s="545"/>
      <c r="F28" s="545"/>
      <c r="G28" s="545"/>
      <c r="H28" s="545"/>
      <c r="I28" s="545"/>
      <c r="J28" s="545"/>
    </row>
  </sheetData>
  <sheetProtection algorithmName="SHA-512" hashValue="ramKS3ZZePWfHz5uKMWVPn2Pzu3mKz8CsYO1BFkl4LhtYLjgWAsPaR9jvd+Epp126y59tBqiMVDLE7k8KuVx4g==" saltValue="OFmXNtCieQuhqYq0LBeghg==" spinCount="100000" sheet="1" objects="1" scenarios="1" selectLockedCells="1"/>
  <printOptions horizontalCentered="1"/>
  <pageMargins left="0.23622047244094488" right="0.23622047244094488" top="0.23622047244094488" bottom="0.51181102362204722" header="0.23622047244094488" footer="0.23622047244094488"/>
  <pageSetup scale="95" orientation="landscape" blackAndWhite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AF149"/>
  <sheetViews>
    <sheetView showGridLines="0" tabSelected="1" workbookViewId="0">
      <selection activeCell="A108" sqref="A108"/>
    </sheetView>
  </sheetViews>
  <sheetFormatPr baseColWidth="10" defaultColWidth="10.6640625" defaultRowHeight="13.2"/>
  <cols>
    <col min="1" max="1" width="2.5546875" style="458" customWidth="1"/>
    <col min="2" max="2" width="4.6640625" style="458" customWidth="1"/>
    <col min="3" max="4" width="1.6640625" style="458" customWidth="1"/>
    <col min="5" max="5" width="23" style="458" bestFit="1" customWidth="1"/>
    <col min="6" max="6" width="9.33203125" style="458" customWidth="1"/>
    <col min="7" max="7" width="1.88671875" style="458" customWidth="1"/>
    <col min="8" max="15" width="9.33203125" style="458" customWidth="1"/>
    <col min="16" max="16" width="1.6640625" style="458" customWidth="1"/>
    <col min="17" max="17" width="4.6640625" style="458" customWidth="1"/>
    <col min="18" max="19" width="2.6640625" style="458" customWidth="1"/>
    <col min="20" max="21" width="1.6640625" style="458" customWidth="1"/>
    <col min="22" max="22" width="23" style="458" bestFit="1" customWidth="1"/>
    <col min="23" max="31" width="9.33203125" style="458" customWidth="1"/>
    <col min="32" max="32" width="1.6640625" style="458" customWidth="1"/>
    <col min="33" max="16384" width="10.6640625" style="458"/>
  </cols>
  <sheetData>
    <row r="1" spans="2:32" ht="22.65" customHeight="1">
      <c r="B1" s="459" t="str">
        <f>Cover!B12</f>
        <v>Blu Containers Company</v>
      </c>
      <c r="C1" s="460"/>
      <c r="D1" s="460"/>
      <c r="E1" s="460"/>
      <c r="F1" s="460"/>
      <c r="G1" s="460"/>
      <c r="H1" s="479"/>
      <c r="I1" s="479"/>
      <c r="J1" s="479"/>
      <c r="K1" s="479"/>
      <c r="L1" s="479"/>
      <c r="M1" s="479"/>
      <c r="N1" s="479"/>
      <c r="O1" s="479"/>
      <c r="P1" s="479"/>
      <c r="Q1" s="479"/>
      <c r="T1" s="460"/>
      <c r="U1" s="460"/>
      <c r="V1" s="460"/>
      <c r="W1" s="460"/>
      <c r="X1" s="479"/>
      <c r="Y1" s="479"/>
      <c r="Z1" s="479"/>
      <c r="AA1" s="479"/>
      <c r="AB1" s="479"/>
      <c r="AC1" s="479"/>
      <c r="AD1" s="479"/>
      <c r="AE1" s="479"/>
    </row>
    <row r="2" spans="2:32" ht="17.399999999999999">
      <c r="B2" s="461" t="s">
        <v>5</v>
      </c>
      <c r="C2" s="461"/>
      <c r="D2" s="461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</row>
    <row r="3" spans="2:32" ht="3" customHeight="1"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</row>
    <row r="4" spans="2:32" ht="9.9" customHeight="1"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</row>
    <row r="5" spans="2:32" ht="15" customHeight="1">
      <c r="C5" s="464" t="s">
        <v>6</v>
      </c>
      <c r="D5" s="465"/>
      <c r="E5" s="465"/>
      <c r="F5" s="465"/>
      <c r="G5" s="465"/>
      <c r="H5" s="463"/>
      <c r="I5" s="463"/>
      <c r="J5" s="463"/>
      <c r="K5" s="463"/>
      <c r="L5" s="463"/>
      <c r="M5" s="463"/>
      <c r="N5" s="463"/>
      <c r="O5" s="463"/>
      <c r="P5" s="463"/>
      <c r="T5" s="464" t="str">
        <f>"SUMMMARY VALUES - "&amp;UPPER(CHOOSE(Scenarios!$D$6,Scenarios!C14,Scenarios!C15,Scenarios!C16))</f>
        <v>SUMMMARY VALUES - BASE CASE</v>
      </c>
      <c r="U5" s="465"/>
      <c r="V5" s="465"/>
      <c r="W5" s="465"/>
      <c r="X5" s="463"/>
      <c r="Y5" s="463"/>
      <c r="Z5" s="463"/>
      <c r="AA5" s="463"/>
      <c r="AB5" s="463"/>
      <c r="AC5" s="463"/>
      <c r="AD5" s="463"/>
      <c r="AE5" s="463"/>
    </row>
    <row r="6" spans="2:32" s="457" customFormat="1" ht="15" customHeight="1">
      <c r="C6" s="466"/>
      <c r="D6" s="467"/>
      <c r="E6" s="467"/>
      <c r="F6" s="467"/>
      <c r="G6" s="467"/>
      <c r="H6" s="481"/>
      <c r="I6" s="481"/>
      <c r="J6" s="481"/>
      <c r="K6" s="499" t="s">
        <v>7</v>
      </c>
      <c r="L6" s="500"/>
      <c r="M6" s="500"/>
      <c r="N6" s="500"/>
      <c r="O6" s="500"/>
      <c r="P6" s="507"/>
      <c r="T6" s="671"/>
      <c r="U6" s="672"/>
      <c r="V6" s="672"/>
      <c r="W6" s="672"/>
      <c r="X6" s="672"/>
      <c r="Y6" s="672"/>
      <c r="Z6" s="672"/>
      <c r="AA6" s="673" t="s">
        <v>7</v>
      </c>
      <c r="AB6" s="674"/>
      <c r="AC6" s="674"/>
      <c r="AD6" s="674"/>
      <c r="AE6" s="674"/>
      <c r="AF6" s="675"/>
    </row>
    <row r="7" spans="2:32" s="457" customFormat="1" ht="15" customHeight="1">
      <c r="C7" s="468"/>
      <c r="D7" s="469" t="s">
        <v>8</v>
      </c>
      <c r="E7" s="482"/>
      <c r="F7" s="469" t="s">
        <v>9</v>
      </c>
      <c r="G7" s="482"/>
      <c r="H7" s="483">
        <f>X7</f>
        <v>2020</v>
      </c>
      <c r="I7" s="483">
        <f t="shared" ref="I7:O7" si="0">Y7</f>
        <v>2021</v>
      </c>
      <c r="J7" s="483">
        <f t="shared" si="0"/>
        <v>2022</v>
      </c>
      <c r="K7" s="501">
        <f t="shared" si="0"/>
        <v>2023</v>
      </c>
      <c r="L7" s="501">
        <f t="shared" si="0"/>
        <v>2024</v>
      </c>
      <c r="M7" s="501">
        <f t="shared" si="0"/>
        <v>2025</v>
      </c>
      <c r="N7" s="501">
        <f t="shared" si="0"/>
        <v>2026</v>
      </c>
      <c r="O7" s="501">
        <f t="shared" si="0"/>
        <v>2027</v>
      </c>
      <c r="P7" s="508"/>
      <c r="T7" s="518"/>
      <c r="U7" s="521"/>
      <c r="V7" s="521"/>
      <c r="W7" s="521"/>
      <c r="X7" s="522">
        <f>Model!H7</f>
        <v>2020</v>
      </c>
      <c r="Y7" s="522">
        <f>Model!I7</f>
        <v>2021</v>
      </c>
      <c r="Z7" s="522">
        <f>Model!J7</f>
        <v>2022</v>
      </c>
      <c r="AA7" s="529">
        <f>Model!K7</f>
        <v>2023</v>
      </c>
      <c r="AB7" s="529">
        <f>Model!L7</f>
        <v>2024</v>
      </c>
      <c r="AC7" s="529">
        <f>Model!M7</f>
        <v>2025</v>
      </c>
      <c r="AD7" s="529">
        <f>Model!N7</f>
        <v>2026</v>
      </c>
      <c r="AE7" s="529">
        <f>Model!O7</f>
        <v>2027</v>
      </c>
      <c r="AF7" s="530"/>
    </row>
    <row r="8" spans="2:32" ht="3" customHeight="1">
      <c r="C8" s="470"/>
      <c r="D8" s="471"/>
      <c r="E8" s="471"/>
      <c r="F8" s="471"/>
      <c r="G8" s="471"/>
      <c r="H8" s="484"/>
      <c r="I8" s="484"/>
      <c r="J8" s="502"/>
      <c r="K8" s="503"/>
      <c r="L8" s="503"/>
      <c r="M8" s="503"/>
      <c r="N8" s="503"/>
      <c r="O8" s="503"/>
      <c r="P8" s="509"/>
      <c r="T8" s="519"/>
      <c r="U8" s="631"/>
      <c r="V8" s="631"/>
      <c r="W8" s="631"/>
      <c r="X8" s="676"/>
      <c r="Y8" s="676"/>
      <c r="Z8" s="677"/>
      <c r="AA8" s="678"/>
      <c r="AB8" s="678"/>
      <c r="AC8" s="678"/>
      <c r="AD8" s="678"/>
      <c r="AE8" s="678"/>
      <c r="AF8" s="531"/>
    </row>
    <row r="9" spans="2:32" ht="3" customHeight="1">
      <c r="C9" s="472"/>
      <c r="D9" s="473"/>
      <c r="E9" s="473"/>
      <c r="F9" s="473"/>
      <c r="G9" s="473"/>
      <c r="H9" s="485"/>
      <c r="I9" s="485"/>
      <c r="J9" s="504"/>
      <c r="K9" s="505"/>
      <c r="L9" s="505"/>
      <c r="M9" s="505"/>
      <c r="N9" s="505"/>
      <c r="O9" s="505"/>
      <c r="P9" s="510"/>
      <c r="T9" s="519"/>
      <c r="U9" s="631"/>
      <c r="V9" s="631"/>
      <c r="W9" s="631"/>
      <c r="X9" s="676"/>
      <c r="Y9" s="676"/>
      <c r="Z9" s="677"/>
      <c r="AA9" s="678"/>
      <c r="AB9" s="678"/>
      <c r="AC9" s="678"/>
      <c r="AD9" s="678"/>
      <c r="AE9" s="678"/>
      <c r="AF9" s="531"/>
    </row>
    <row r="10" spans="2:32" ht="12.9" customHeight="1">
      <c r="C10" s="474"/>
      <c r="D10" s="475" t="s">
        <v>10</v>
      </c>
      <c r="P10" s="511"/>
      <c r="T10" s="519"/>
      <c r="U10" s="665" t="s">
        <v>10</v>
      </c>
      <c r="V10" s="631"/>
      <c r="W10" s="631"/>
      <c r="X10" s="631"/>
      <c r="Y10" s="631"/>
      <c r="Z10" s="631"/>
      <c r="AA10" s="631"/>
      <c r="AB10" s="631"/>
      <c r="AC10" s="631"/>
      <c r="AD10" s="631"/>
      <c r="AE10" s="631"/>
      <c r="AF10" s="531"/>
    </row>
    <row r="11" spans="2:32" ht="3" customHeight="1">
      <c r="C11" s="474"/>
      <c r="D11" s="475"/>
      <c r="P11" s="511"/>
      <c r="T11" s="519"/>
      <c r="U11" s="665"/>
      <c r="V11" s="631"/>
      <c r="W11" s="631"/>
      <c r="X11" s="631"/>
      <c r="Y11" s="631"/>
      <c r="Z11" s="631"/>
      <c r="AA11" s="631"/>
      <c r="AB11" s="631"/>
      <c r="AC11" s="631"/>
      <c r="AD11" s="631"/>
      <c r="AE11" s="631"/>
      <c r="AF11" s="531"/>
    </row>
    <row r="12" spans="2:32">
      <c r="C12" s="474"/>
      <c r="E12" s="458" t="s">
        <v>11</v>
      </c>
      <c r="F12" s="486"/>
      <c r="H12" s="487">
        <v>213.5</v>
      </c>
      <c r="I12" s="487">
        <v>236.60000000000002</v>
      </c>
      <c r="J12" s="487">
        <v>204.79999999999998</v>
      </c>
      <c r="K12" s="487">
        <v>252.46209677419353</v>
      </c>
      <c r="L12" s="487">
        <v>233.58111483870971</v>
      </c>
      <c r="M12" s="487">
        <v>281.23110855638714</v>
      </c>
      <c r="N12" s="487">
        <v>281.22955436627001</v>
      </c>
      <c r="O12" s="487">
        <v>268.17287049000004</v>
      </c>
      <c r="P12" s="511"/>
      <c r="T12" s="519"/>
      <c r="U12" s="631"/>
      <c r="V12" s="631" t="s">
        <v>11</v>
      </c>
      <c r="W12" s="669" t="s">
        <v>12</v>
      </c>
      <c r="X12" s="524">
        <f>Model!H85</f>
        <v>213.5</v>
      </c>
      <c r="Y12" s="524">
        <f>Model!I85</f>
        <v>236.60000000000002</v>
      </c>
      <c r="Z12" s="524">
        <f>Model!J85</f>
        <v>204.79999999999998</v>
      </c>
      <c r="AA12" s="524">
        <f>Model!K85</f>
        <v>252.46209677419353</v>
      </c>
      <c r="AB12" s="524">
        <f>Model!L85</f>
        <v>233.58111483870971</v>
      </c>
      <c r="AC12" s="524">
        <f>Model!M85</f>
        <v>281.23110855638714</v>
      </c>
      <c r="AD12" s="524">
        <f>Model!N85</f>
        <v>281.22955436627001</v>
      </c>
      <c r="AE12" s="524">
        <f>Model!O85</f>
        <v>268.17287049000004</v>
      </c>
      <c r="AF12" s="531"/>
    </row>
    <row r="13" spans="2:32">
      <c r="C13" s="474"/>
      <c r="E13" s="488" t="s">
        <v>13</v>
      </c>
      <c r="F13" s="489"/>
      <c r="G13" s="488"/>
      <c r="H13" s="490"/>
      <c r="I13" s="493">
        <v>0.10819672131147562</v>
      </c>
      <c r="J13" s="493">
        <v>-0.13440405748098072</v>
      </c>
      <c r="K13" s="493">
        <v>0.23272508190524199</v>
      </c>
      <c r="L13" s="493">
        <v>-7.4787392550143106E-2</v>
      </c>
      <c r="M13" s="493">
        <v>0.203997629476939</v>
      </c>
      <c r="N13" s="493">
        <v>-5.5263805099903252E-6</v>
      </c>
      <c r="O13" s="493">
        <v>-4.6427139941576323E-2</v>
      </c>
      <c r="P13" s="511"/>
      <c r="T13" s="519"/>
      <c r="U13" s="631"/>
      <c r="V13" s="632" t="s">
        <v>13</v>
      </c>
      <c r="W13" s="633" t="s">
        <v>14</v>
      </c>
      <c r="X13" s="631"/>
      <c r="Y13" s="634">
        <f>Y12/X12-1</f>
        <v>0.10819672131147562</v>
      </c>
      <c r="Z13" s="634">
        <f t="shared" ref="Z13:AE13" si="1">Z12/Y12-1</f>
        <v>-0.13440405748098072</v>
      </c>
      <c r="AA13" s="634">
        <f t="shared" si="1"/>
        <v>0.23272508190524199</v>
      </c>
      <c r="AB13" s="634">
        <f t="shared" si="1"/>
        <v>-7.4787392550143106E-2</v>
      </c>
      <c r="AC13" s="634">
        <f t="shared" si="1"/>
        <v>0.203997629476939</v>
      </c>
      <c r="AD13" s="634">
        <f t="shared" si="1"/>
        <v>-5.5263805099903252E-6</v>
      </c>
      <c r="AE13" s="634">
        <f t="shared" si="1"/>
        <v>-4.6427139941576323E-2</v>
      </c>
      <c r="AF13" s="531"/>
    </row>
    <row r="14" spans="2:32" ht="3" customHeight="1">
      <c r="C14" s="474"/>
      <c r="E14" s="491"/>
      <c r="F14" s="491"/>
      <c r="G14" s="491"/>
      <c r="H14" s="492"/>
      <c r="I14" s="492"/>
      <c r="J14" s="492"/>
      <c r="K14" s="492"/>
      <c r="L14" s="492"/>
      <c r="M14" s="492"/>
      <c r="N14" s="492"/>
      <c r="O14" s="492"/>
      <c r="P14" s="511"/>
      <c r="T14" s="519"/>
      <c r="U14" s="631"/>
      <c r="V14" s="631"/>
      <c r="W14" s="631"/>
      <c r="X14" s="631"/>
      <c r="Y14" s="631"/>
      <c r="Z14" s="631"/>
      <c r="AA14" s="631"/>
      <c r="AB14" s="631"/>
      <c r="AC14" s="631"/>
      <c r="AD14" s="631"/>
      <c r="AE14" s="631"/>
      <c r="AF14" s="531"/>
    </row>
    <row r="15" spans="2:32" ht="3" customHeight="1">
      <c r="C15" s="474"/>
      <c r="H15" s="490"/>
      <c r="I15" s="490"/>
      <c r="J15" s="490"/>
      <c r="K15" s="490"/>
      <c r="L15" s="490"/>
      <c r="M15" s="490"/>
      <c r="N15" s="490"/>
      <c r="O15" s="490"/>
      <c r="P15" s="511"/>
      <c r="T15" s="519"/>
      <c r="U15" s="631"/>
      <c r="V15" s="631"/>
      <c r="W15" s="631"/>
      <c r="X15" s="631"/>
      <c r="Y15" s="631"/>
      <c r="Z15" s="631"/>
      <c r="AA15" s="631"/>
      <c r="AB15" s="631"/>
      <c r="AC15" s="631"/>
      <c r="AD15" s="631"/>
      <c r="AE15" s="631"/>
      <c r="AF15" s="531"/>
    </row>
    <row r="16" spans="2:32">
      <c r="C16" s="474"/>
      <c r="E16" s="458" t="s">
        <v>15</v>
      </c>
      <c r="F16" s="486"/>
      <c r="H16" s="487">
        <v>50.199999999999989</v>
      </c>
      <c r="I16" s="487">
        <v>68.400000000000034</v>
      </c>
      <c r="J16" s="487">
        <v>33.099999999999966</v>
      </c>
      <c r="K16" s="487">
        <v>73.875241935483842</v>
      </c>
      <c r="L16" s="487">
        <v>47.11049922580645</v>
      </c>
      <c r="M16" s="487">
        <v>86.456885914219384</v>
      </c>
      <c r="N16" s="487">
        <v>76.709884589719195</v>
      </c>
      <c r="O16" s="487">
        <v>54.342095904000075</v>
      </c>
      <c r="P16" s="512"/>
      <c r="T16" s="519"/>
      <c r="U16" s="631"/>
      <c r="V16" s="631" t="s">
        <v>15</v>
      </c>
      <c r="W16" s="669" t="s">
        <v>12</v>
      </c>
      <c r="X16" s="524">
        <f>Model!H92</f>
        <v>50.199999999999989</v>
      </c>
      <c r="Y16" s="524">
        <f>Model!I92</f>
        <v>68.400000000000034</v>
      </c>
      <c r="Z16" s="524">
        <f>Model!J92</f>
        <v>33.099999999999966</v>
      </c>
      <c r="AA16" s="524">
        <f>Model!K92</f>
        <v>73.875241935483842</v>
      </c>
      <c r="AB16" s="524">
        <f>Model!L92</f>
        <v>47.11049922580645</v>
      </c>
      <c r="AC16" s="524">
        <f>Model!M92</f>
        <v>86.456885914219384</v>
      </c>
      <c r="AD16" s="524">
        <f>Model!N92</f>
        <v>76.709884589719195</v>
      </c>
      <c r="AE16" s="524">
        <f>Model!O92</f>
        <v>54.342095904000075</v>
      </c>
      <c r="AF16" s="531"/>
    </row>
    <row r="17" spans="3:32">
      <c r="C17" s="474"/>
      <c r="E17" s="488" t="s">
        <v>16</v>
      </c>
      <c r="F17" s="489"/>
      <c r="G17" s="488"/>
      <c r="H17" s="493">
        <v>0.23512880562060884</v>
      </c>
      <c r="I17" s="493">
        <v>0.28909551986475074</v>
      </c>
      <c r="J17" s="493">
        <v>0.16162109374999983</v>
      </c>
      <c r="K17" s="493">
        <v>0.29261914116778937</v>
      </c>
      <c r="L17" s="493">
        <v>0.20168796290888824</v>
      </c>
      <c r="M17" s="493">
        <v>0.30742291049528286</v>
      </c>
      <c r="N17" s="493">
        <v>0.27276608520956924</v>
      </c>
      <c r="O17" s="493">
        <v>0.20263830492885912</v>
      </c>
      <c r="P17" s="513"/>
      <c r="T17" s="519"/>
      <c r="U17" s="631"/>
      <c r="V17" s="632" t="s">
        <v>16</v>
      </c>
      <c r="W17" s="633" t="s">
        <v>14</v>
      </c>
      <c r="X17" s="634">
        <f>X16/X12</f>
        <v>0.23512880562060884</v>
      </c>
      <c r="Y17" s="634">
        <f t="shared" ref="Y17:AE17" si="2">Y16/Y12</f>
        <v>0.28909551986475074</v>
      </c>
      <c r="Z17" s="634">
        <f t="shared" si="2"/>
        <v>0.16162109374999983</v>
      </c>
      <c r="AA17" s="634">
        <f t="shared" si="2"/>
        <v>0.29261914116778937</v>
      </c>
      <c r="AB17" s="634">
        <f t="shared" si="2"/>
        <v>0.20168796290888824</v>
      </c>
      <c r="AC17" s="634">
        <f t="shared" si="2"/>
        <v>0.30742291049528286</v>
      </c>
      <c r="AD17" s="634">
        <f t="shared" si="2"/>
        <v>0.27276608520956924</v>
      </c>
      <c r="AE17" s="634">
        <f t="shared" si="2"/>
        <v>0.20263830492885912</v>
      </c>
      <c r="AF17" s="531"/>
    </row>
    <row r="18" spans="3:32">
      <c r="C18" s="474"/>
      <c r="E18" s="488" t="s">
        <v>13</v>
      </c>
      <c r="F18" s="489"/>
      <c r="G18" s="488"/>
      <c r="H18" s="494"/>
      <c r="I18" s="493">
        <v>0.36254980079681376</v>
      </c>
      <c r="J18" s="493">
        <v>-0.51608187134502992</v>
      </c>
      <c r="K18" s="493">
        <v>1.2318804210115988</v>
      </c>
      <c r="L18" s="493">
        <v>-0.36229651515796557</v>
      </c>
      <c r="M18" s="493">
        <v>0.83519358391471998</v>
      </c>
      <c r="N18" s="493">
        <v>-0.11273828823965448</v>
      </c>
      <c r="O18" s="493">
        <v>-0.29158939301437681</v>
      </c>
      <c r="P18" s="513"/>
      <c r="T18" s="519"/>
      <c r="U18" s="631"/>
      <c r="V18" s="632" t="s">
        <v>13</v>
      </c>
      <c r="W18" s="633" t="s">
        <v>14</v>
      </c>
      <c r="X18" s="633"/>
      <c r="Y18" s="634">
        <f>Y16/X16-1</f>
        <v>0.36254980079681376</v>
      </c>
      <c r="Z18" s="634">
        <f t="shared" ref="Z18:AD18" si="3">Z16/Y16-1</f>
        <v>-0.51608187134502992</v>
      </c>
      <c r="AA18" s="634">
        <f t="shared" si="3"/>
        <v>1.2318804210115988</v>
      </c>
      <c r="AB18" s="634">
        <f t="shared" si="3"/>
        <v>-0.36229651515796557</v>
      </c>
      <c r="AC18" s="634">
        <f t="shared" si="3"/>
        <v>0.83519358391471998</v>
      </c>
      <c r="AD18" s="634">
        <f t="shared" si="3"/>
        <v>-0.11273828823965448</v>
      </c>
      <c r="AE18" s="634">
        <f>AE16/AD16-1</f>
        <v>-0.29158939301437681</v>
      </c>
      <c r="AF18" s="531"/>
    </row>
    <row r="19" spans="3:32" ht="3" customHeight="1">
      <c r="C19" s="474"/>
      <c r="E19" s="491"/>
      <c r="F19" s="491"/>
      <c r="G19" s="491"/>
      <c r="H19" s="492"/>
      <c r="I19" s="492"/>
      <c r="J19" s="492"/>
      <c r="K19" s="492"/>
      <c r="L19" s="492"/>
      <c r="M19" s="492"/>
      <c r="N19" s="492"/>
      <c r="O19" s="492"/>
      <c r="P19" s="511"/>
      <c r="T19" s="519"/>
      <c r="U19" s="631"/>
      <c r="V19" s="631"/>
      <c r="W19" s="631"/>
      <c r="X19" s="631"/>
      <c r="Y19" s="631"/>
      <c r="Z19" s="631"/>
      <c r="AA19" s="631"/>
      <c r="AB19" s="631"/>
      <c r="AC19" s="631"/>
      <c r="AD19" s="631"/>
      <c r="AE19" s="631"/>
      <c r="AF19" s="531"/>
    </row>
    <row r="20" spans="3:32" ht="3" customHeight="1">
      <c r="C20" s="474"/>
      <c r="H20" s="490"/>
      <c r="I20" s="490"/>
      <c r="J20" s="490"/>
      <c r="K20" s="490"/>
      <c r="L20" s="490"/>
      <c r="M20" s="490"/>
      <c r="N20" s="490"/>
      <c r="O20" s="490"/>
      <c r="P20" s="511"/>
      <c r="T20" s="519"/>
      <c r="U20" s="631"/>
      <c r="V20" s="631"/>
      <c r="W20" s="631"/>
      <c r="X20" s="631"/>
      <c r="Y20" s="631"/>
      <c r="Z20" s="631"/>
      <c r="AA20" s="631"/>
      <c r="AB20" s="631"/>
      <c r="AC20" s="631"/>
      <c r="AD20" s="631"/>
      <c r="AE20" s="631"/>
      <c r="AF20" s="531"/>
    </row>
    <row r="21" spans="3:32">
      <c r="C21" s="474"/>
      <c r="E21" s="458" t="s">
        <v>17</v>
      </c>
      <c r="F21" s="486"/>
      <c r="H21" s="487">
        <v>14.099999999999991</v>
      </c>
      <c r="I21" s="487">
        <v>23.700000000000035</v>
      </c>
      <c r="J21" s="487">
        <v>2.1999999999999651</v>
      </c>
      <c r="K21" s="487">
        <v>29.705373924731163</v>
      </c>
      <c r="L21" s="487">
        <v>12.883787476158492</v>
      </c>
      <c r="M21" s="487">
        <v>38.802359358937842</v>
      </c>
      <c r="N21" s="487">
        <v>33.318879086004337</v>
      </c>
      <c r="O21" s="487">
        <v>19.418162337600048</v>
      </c>
      <c r="P21" s="512"/>
      <c r="T21" s="519"/>
      <c r="U21" s="631"/>
      <c r="V21" s="631" t="s">
        <v>17</v>
      </c>
      <c r="W21" s="669" t="s">
        <v>12</v>
      </c>
      <c r="X21" s="524">
        <f>Model!H104</f>
        <v>14.099999999999991</v>
      </c>
      <c r="Y21" s="524">
        <f>Model!I104</f>
        <v>23.700000000000035</v>
      </c>
      <c r="Z21" s="524">
        <f>Model!J104</f>
        <v>2.1999999999999651</v>
      </c>
      <c r="AA21" s="524">
        <f>Model!K104</f>
        <v>29.705373924731163</v>
      </c>
      <c r="AB21" s="524">
        <f>Model!L104</f>
        <v>12.883787476158492</v>
      </c>
      <c r="AC21" s="524">
        <f>Model!M104</f>
        <v>38.802359358937842</v>
      </c>
      <c r="AD21" s="524">
        <f>Model!N104</f>
        <v>33.318879086004337</v>
      </c>
      <c r="AE21" s="524">
        <f>Model!O104</f>
        <v>19.418162337600048</v>
      </c>
      <c r="AF21" s="531"/>
    </row>
    <row r="22" spans="3:32">
      <c r="C22" s="474"/>
      <c r="E22" s="488" t="s">
        <v>16</v>
      </c>
      <c r="F22" s="495"/>
      <c r="G22" s="488"/>
      <c r="H22" s="493">
        <v>6.6042154566744685E-2</v>
      </c>
      <c r="I22" s="493">
        <v>0.10016906170752338</v>
      </c>
      <c r="J22" s="493">
        <v>1.074218749999983E-2</v>
      </c>
      <c r="K22" s="493">
        <v>0.11766270780560047</v>
      </c>
      <c r="L22" s="493">
        <v>5.5157658978787251E-2</v>
      </c>
      <c r="M22" s="493">
        <v>0.13797321198966125</v>
      </c>
      <c r="N22" s="493">
        <v>0.11847573830241977</v>
      </c>
      <c r="O22" s="493">
        <v>7.2409122899417741E-2</v>
      </c>
      <c r="P22" s="512"/>
      <c r="T22" s="519"/>
      <c r="U22" s="631"/>
      <c r="V22" s="632" t="s">
        <v>16</v>
      </c>
      <c r="W22" s="633" t="s">
        <v>14</v>
      </c>
      <c r="X22" s="634">
        <f>X21/X12</f>
        <v>6.6042154566744685E-2</v>
      </c>
      <c r="Y22" s="634">
        <f t="shared" ref="Y22:AE22" si="4">Y21/Y12</f>
        <v>0.10016906170752338</v>
      </c>
      <c r="Z22" s="634">
        <f t="shared" si="4"/>
        <v>1.074218749999983E-2</v>
      </c>
      <c r="AA22" s="634">
        <f t="shared" si="4"/>
        <v>0.11766270780560047</v>
      </c>
      <c r="AB22" s="634">
        <f t="shared" si="4"/>
        <v>5.5157658978787251E-2</v>
      </c>
      <c r="AC22" s="634">
        <f t="shared" si="4"/>
        <v>0.13797321198966125</v>
      </c>
      <c r="AD22" s="634">
        <f t="shared" si="4"/>
        <v>0.11847573830241977</v>
      </c>
      <c r="AE22" s="634">
        <f t="shared" si="4"/>
        <v>7.2409122899417741E-2</v>
      </c>
      <c r="AF22" s="531"/>
    </row>
    <row r="23" spans="3:32">
      <c r="C23" s="474"/>
      <c r="E23" s="488" t="s">
        <v>13</v>
      </c>
      <c r="F23" s="495"/>
      <c r="G23" s="488"/>
      <c r="H23" s="494"/>
      <c r="I23" s="493">
        <v>0.68085106382979088</v>
      </c>
      <c r="J23" s="493">
        <v>-0.9071729957805923</v>
      </c>
      <c r="K23" s="493">
        <v>12.502442693059834</v>
      </c>
      <c r="L23" s="493">
        <v>-0.56628091910897926</v>
      </c>
      <c r="M23" s="493">
        <v>2.0117199178224405</v>
      </c>
      <c r="N23" s="493">
        <v>-0.14131821784879239</v>
      </c>
      <c r="O23" s="493">
        <v>-0.41720241285797977</v>
      </c>
      <c r="P23" s="512"/>
      <c r="T23" s="519"/>
      <c r="U23" s="631"/>
      <c r="V23" s="632" t="s">
        <v>13</v>
      </c>
      <c r="W23" s="633" t="s">
        <v>14</v>
      </c>
      <c r="X23" s="633"/>
      <c r="Y23" s="634">
        <f>Y21/X21-1</f>
        <v>0.68085106382979088</v>
      </c>
      <c r="Z23" s="634">
        <f t="shared" ref="Z23:AD23" si="5">Z21/Y21-1</f>
        <v>-0.9071729957805923</v>
      </c>
      <c r="AA23" s="634">
        <f t="shared" si="5"/>
        <v>12.502442693059834</v>
      </c>
      <c r="AB23" s="634">
        <f t="shared" si="5"/>
        <v>-0.56628091910897926</v>
      </c>
      <c r="AC23" s="634">
        <f t="shared" si="5"/>
        <v>2.0117199178224405</v>
      </c>
      <c r="AD23" s="634">
        <f t="shared" si="5"/>
        <v>-0.14131821784879239</v>
      </c>
      <c r="AE23" s="634">
        <f>AE21/AD21-1</f>
        <v>-0.41720241285797977</v>
      </c>
      <c r="AF23" s="531"/>
    </row>
    <row r="24" spans="3:32" ht="3.9" customHeight="1">
      <c r="C24" s="476"/>
      <c r="D24" s="477"/>
      <c r="E24" s="496"/>
      <c r="F24" s="477"/>
      <c r="G24" s="477"/>
      <c r="H24" s="477"/>
      <c r="I24" s="477"/>
      <c r="J24" s="477"/>
      <c r="K24" s="477"/>
      <c r="L24" s="477"/>
      <c r="M24" s="477"/>
      <c r="N24" s="477"/>
      <c r="O24" s="477"/>
      <c r="P24" s="514"/>
      <c r="T24" s="519"/>
      <c r="U24" s="631"/>
      <c r="V24" s="631"/>
      <c r="W24" s="631"/>
      <c r="X24" s="631"/>
      <c r="Y24" s="631"/>
      <c r="Z24" s="631"/>
      <c r="AA24" s="631"/>
      <c r="AB24" s="631"/>
      <c r="AC24" s="631"/>
      <c r="AD24" s="631"/>
      <c r="AE24" s="631"/>
      <c r="AF24" s="531"/>
    </row>
    <row r="25" spans="3:32">
      <c r="T25" s="519"/>
      <c r="U25" s="665" t="s">
        <v>287</v>
      </c>
      <c r="V25" s="631"/>
      <c r="W25" s="631"/>
      <c r="X25" s="631"/>
      <c r="Y25" s="631"/>
      <c r="Z25" s="631"/>
      <c r="AA25" s="631"/>
      <c r="AB25" s="631"/>
      <c r="AC25" s="631"/>
      <c r="AD25" s="631"/>
      <c r="AE25" s="631"/>
      <c r="AF25" s="531"/>
    </row>
    <row r="26" spans="3:32" ht="15" customHeight="1">
      <c r="C26" s="464" t="s">
        <v>18</v>
      </c>
      <c r="D26" s="465"/>
      <c r="E26" s="465"/>
      <c r="F26" s="465"/>
      <c r="G26" s="465"/>
      <c r="H26" s="463"/>
      <c r="I26" s="463"/>
      <c r="J26" s="463"/>
      <c r="K26" s="463"/>
      <c r="L26" s="463"/>
      <c r="M26" s="463"/>
      <c r="N26" s="463"/>
      <c r="O26" s="463"/>
      <c r="P26" s="463"/>
      <c r="T26" s="519"/>
      <c r="U26" s="631"/>
      <c r="V26" s="631" t="s">
        <v>154</v>
      </c>
      <c r="W26" s="669" t="s">
        <v>12</v>
      </c>
      <c r="X26" s="524">
        <f>Model!H177</f>
        <v>250</v>
      </c>
      <c r="Y26" s="524">
        <f>Model!I177</f>
        <v>225</v>
      </c>
      <c r="Z26" s="524">
        <f>Model!J177</f>
        <v>200</v>
      </c>
      <c r="AA26" s="524">
        <f>Model!K177</f>
        <v>175</v>
      </c>
      <c r="AB26" s="524">
        <f>Model!L177</f>
        <v>150</v>
      </c>
      <c r="AC26" s="524">
        <f>Model!M177</f>
        <v>125</v>
      </c>
      <c r="AD26" s="524">
        <f>Model!N177</f>
        <v>100</v>
      </c>
      <c r="AE26" s="524">
        <f>Model!O177</f>
        <v>75</v>
      </c>
      <c r="AF26" s="531"/>
    </row>
    <row r="27" spans="3:32" s="457" customFormat="1" ht="15" customHeight="1">
      <c r="C27" s="466"/>
      <c r="D27" s="467"/>
      <c r="E27" s="467"/>
      <c r="F27" s="467"/>
      <c r="G27" s="467"/>
      <c r="H27" s="481"/>
      <c r="I27" s="481"/>
      <c r="J27" s="481"/>
      <c r="K27" s="499" t="s">
        <v>7</v>
      </c>
      <c r="L27" s="500"/>
      <c r="M27" s="500"/>
      <c r="N27" s="500"/>
      <c r="O27" s="500"/>
      <c r="P27" s="515"/>
      <c r="T27" s="518"/>
      <c r="U27" s="679"/>
      <c r="V27" s="632" t="s">
        <v>13</v>
      </c>
      <c r="W27" s="633" t="s">
        <v>14</v>
      </c>
      <c r="X27" s="631"/>
      <c r="Y27" s="634">
        <f>Y26/X26-1</f>
        <v>-9.9999999999999978E-2</v>
      </c>
      <c r="Z27" s="634">
        <f t="shared" ref="Z27" si="6">Z26/Y26-1</f>
        <v>-0.11111111111111116</v>
      </c>
      <c r="AA27" s="634">
        <f t="shared" ref="AA27" si="7">AA26/Z26-1</f>
        <v>-0.125</v>
      </c>
      <c r="AB27" s="634">
        <f t="shared" ref="AB27" si="8">AB26/AA26-1</f>
        <v>-0.1428571428571429</v>
      </c>
      <c r="AC27" s="634">
        <f t="shared" ref="AC27" si="9">AC26/AB26-1</f>
        <v>-0.16666666666666663</v>
      </c>
      <c r="AD27" s="634">
        <f t="shared" ref="AD27" si="10">AD26/AC26-1</f>
        <v>-0.19999999999999996</v>
      </c>
      <c r="AE27" s="634">
        <f t="shared" ref="AE27" si="11">AE26/AD26-1</f>
        <v>-0.25</v>
      </c>
      <c r="AF27" s="530"/>
    </row>
    <row r="28" spans="3:32" s="457" customFormat="1" ht="15" customHeight="1">
      <c r="C28" s="468"/>
      <c r="D28" s="469" t="s">
        <v>8</v>
      </c>
      <c r="E28" s="482"/>
      <c r="F28" s="469" t="s">
        <v>9</v>
      </c>
      <c r="G28" s="482"/>
      <c r="H28" s="483">
        <f t="shared" ref="H28:O28" si="12">H7</f>
        <v>2020</v>
      </c>
      <c r="I28" s="483">
        <f t="shared" si="12"/>
        <v>2021</v>
      </c>
      <c r="J28" s="483">
        <f t="shared" si="12"/>
        <v>2022</v>
      </c>
      <c r="K28" s="501">
        <f t="shared" si="12"/>
        <v>2023</v>
      </c>
      <c r="L28" s="501">
        <f t="shared" si="12"/>
        <v>2024</v>
      </c>
      <c r="M28" s="501">
        <f t="shared" si="12"/>
        <v>2025</v>
      </c>
      <c r="N28" s="501">
        <f t="shared" si="12"/>
        <v>2026</v>
      </c>
      <c r="O28" s="501">
        <f t="shared" si="12"/>
        <v>2027</v>
      </c>
      <c r="P28" s="516"/>
      <c r="T28" s="518"/>
      <c r="U28" s="679"/>
      <c r="V28" s="631" t="s">
        <v>152</v>
      </c>
      <c r="W28" s="669" t="s">
        <v>12</v>
      </c>
      <c r="X28" s="524">
        <f>Model!H171</f>
        <v>0</v>
      </c>
      <c r="Y28" s="524">
        <f>Model!I171</f>
        <v>0</v>
      </c>
      <c r="Z28" s="524">
        <f>Model!J171</f>
        <v>0</v>
      </c>
      <c r="AA28" s="524">
        <f>Model!K171</f>
        <v>1.0770176226248356</v>
      </c>
      <c r="AB28" s="524">
        <f>Model!L171</f>
        <v>7.7435850932843859</v>
      </c>
      <c r="AC28" s="524">
        <f>Model!M171</f>
        <v>1.2289546319609022</v>
      </c>
      <c r="AD28" s="524">
        <f>Model!N171</f>
        <v>0</v>
      </c>
      <c r="AE28" s="524">
        <f>Model!O171</f>
        <v>2.6139755760435204</v>
      </c>
      <c r="AF28" s="530"/>
    </row>
    <row r="29" spans="3:32">
      <c r="C29" s="470"/>
      <c r="D29" s="471"/>
      <c r="E29" s="471"/>
      <c r="F29" s="471"/>
      <c r="G29" s="471"/>
      <c r="H29" s="484"/>
      <c r="I29" s="484"/>
      <c r="J29" s="502"/>
      <c r="K29" s="503"/>
      <c r="L29" s="503"/>
      <c r="M29" s="503"/>
      <c r="N29" s="503"/>
      <c r="O29" s="503"/>
      <c r="P29" s="509"/>
      <c r="T29" s="519"/>
      <c r="U29" s="631"/>
      <c r="V29" s="632" t="s">
        <v>13</v>
      </c>
      <c r="W29" s="633" t="s">
        <v>14</v>
      </c>
      <c r="X29" s="631"/>
      <c r="Y29" s="634" t="str">
        <f>IFERROR(Y28/X28-1, "")</f>
        <v/>
      </c>
      <c r="Z29" s="634" t="str">
        <f>IFERROR(Z28/Y28-1, "")</f>
        <v/>
      </c>
      <c r="AA29" s="634" t="str">
        <f>IFERROR(AA28/Z28-1, "")</f>
        <v/>
      </c>
      <c r="AB29" s="634">
        <f>IFERROR(AB28/AA28-1, "")</f>
        <v>6.1898406586999348</v>
      </c>
      <c r="AC29" s="634">
        <f>IFERROR(AC28/AB28-1, "")</f>
        <v>-0.84129384294792453</v>
      </c>
      <c r="AD29" s="634">
        <f>IFERROR(AD28/AC28-1, "")</f>
        <v>-1</v>
      </c>
      <c r="AE29" s="634" t="str">
        <f>IFERROR(AE28/AD28-1, "")</f>
        <v/>
      </c>
      <c r="AF29" s="531"/>
    </row>
    <row r="30" spans="3:32" ht="3" customHeight="1">
      <c r="C30" s="472"/>
      <c r="D30" s="473"/>
      <c r="E30" s="473"/>
      <c r="F30" s="473"/>
      <c r="G30" s="473"/>
      <c r="H30" s="485"/>
      <c r="I30" s="485"/>
      <c r="J30" s="504"/>
      <c r="K30" s="505"/>
      <c r="L30" s="505"/>
      <c r="M30" s="505"/>
      <c r="N30" s="505"/>
      <c r="O30" s="505"/>
      <c r="P30" s="510"/>
      <c r="T30" s="664"/>
      <c r="U30" s="640"/>
      <c r="V30" s="640"/>
      <c r="W30" s="640"/>
      <c r="X30" s="636"/>
      <c r="Y30" s="636"/>
      <c r="Z30" s="636"/>
      <c r="AA30" s="636"/>
      <c r="AB30" s="636"/>
      <c r="AC30" s="636"/>
      <c r="AD30" s="636"/>
      <c r="AE30" s="636"/>
      <c r="AF30" s="531"/>
    </row>
    <row r="31" spans="3:32" ht="12.9" customHeight="1">
      <c r="C31" s="474"/>
      <c r="D31" s="475" t="s">
        <v>10</v>
      </c>
      <c r="P31" s="511"/>
      <c r="T31" s="519"/>
      <c r="U31" s="631"/>
      <c r="V31" s="631" t="s">
        <v>159</v>
      </c>
      <c r="W31" s="669" t="s">
        <v>12</v>
      </c>
      <c r="X31" s="524">
        <f>Model!H184</f>
        <v>239.7</v>
      </c>
      <c r="Y31" s="524">
        <f>Model!I184</f>
        <v>258.7</v>
      </c>
      <c r="Z31" s="524">
        <f>Model!J184</f>
        <v>258.5</v>
      </c>
      <c r="AA31" s="524">
        <f>Model!K184</f>
        <v>282.26429913978495</v>
      </c>
      <c r="AB31" s="524">
        <f>Model!L184</f>
        <v>292.57132912071171</v>
      </c>
      <c r="AC31" s="524">
        <f>Model!M184</f>
        <v>323.613216607862</v>
      </c>
      <c r="AD31" s="524">
        <f>Model!N184</f>
        <v>350.26831987666549</v>
      </c>
      <c r="AE31" s="524">
        <f>Model!O184</f>
        <v>365.80284974674549</v>
      </c>
      <c r="AF31" s="531"/>
    </row>
    <row r="32" spans="3:32">
      <c r="C32" s="474"/>
      <c r="D32" s="475"/>
      <c r="P32" s="511"/>
      <c r="T32" s="519"/>
      <c r="U32" s="631"/>
      <c r="V32" s="632" t="s">
        <v>13</v>
      </c>
      <c r="W32" s="633" t="s">
        <v>14</v>
      </c>
      <c r="X32" s="631"/>
      <c r="Y32" s="634">
        <f>Y31/X31-1</f>
        <v>7.9265748852732631E-2</v>
      </c>
      <c r="Z32" s="634">
        <f t="shared" ref="Z32" si="13">Z31/Y31-1</f>
        <v>-7.7309625048316288E-4</v>
      </c>
      <c r="AA32" s="634">
        <f t="shared" ref="AA32" si="14">AA31/Z31-1</f>
        <v>9.1931524718703805E-2</v>
      </c>
      <c r="AB32" s="634">
        <f t="shared" ref="AB32" si="15">AB31/AA31-1</f>
        <v>3.6515528220671056E-2</v>
      </c>
      <c r="AC32" s="634">
        <f t="shared" ref="AC32" si="16">AC31/AB31-1</f>
        <v>0.1061002374376292</v>
      </c>
      <c r="AD32" s="634">
        <f t="shared" ref="AD32" si="17">AD31/AC31-1</f>
        <v>8.2367165186280955E-2</v>
      </c>
      <c r="AE32" s="634">
        <f t="shared" ref="AE32" si="18">AE31/AD31-1</f>
        <v>4.4350370811582218E-2</v>
      </c>
      <c r="AF32" s="531"/>
    </row>
    <row r="33" spans="3:32">
      <c r="C33" s="474"/>
      <c r="E33" s="458" t="s">
        <v>11</v>
      </c>
      <c r="F33" s="486"/>
      <c r="H33" s="487">
        <v>213.5</v>
      </c>
      <c r="I33" s="487">
        <v>236.60000000000002</v>
      </c>
      <c r="J33" s="487">
        <v>204.79999999999998</v>
      </c>
      <c r="K33" s="487">
        <v>264.10862903225802</v>
      </c>
      <c r="L33" s="487">
        <v>244.64311560000002</v>
      </c>
      <c r="M33" s="487">
        <v>297.21531508419486</v>
      </c>
      <c r="N33" s="487">
        <v>300.41838123259203</v>
      </c>
      <c r="O33" s="487">
        <v>281.50084467066245</v>
      </c>
      <c r="P33" s="511"/>
      <c r="T33" s="520"/>
      <c r="U33" s="525"/>
      <c r="V33" s="525"/>
      <c r="W33" s="680"/>
      <c r="X33" s="681"/>
      <c r="Y33" s="681"/>
      <c r="Z33" s="681"/>
      <c r="AA33" s="681"/>
      <c r="AB33" s="681"/>
      <c r="AC33" s="681"/>
      <c r="AD33" s="681"/>
      <c r="AE33" s="681"/>
      <c r="AF33" s="532"/>
    </row>
    <row r="34" spans="3:32">
      <c r="C34" s="474"/>
      <c r="E34" s="488" t="s">
        <v>13</v>
      </c>
      <c r="F34" s="489"/>
      <c r="G34" s="488"/>
      <c r="H34" s="490"/>
      <c r="I34" s="493">
        <v>0.10819672131147562</v>
      </c>
      <c r="J34" s="493">
        <v>-0.13440405748098072</v>
      </c>
      <c r="K34" s="493">
        <v>0.28959291519657238</v>
      </c>
      <c r="L34" s="493">
        <v>-7.3702678718159165E-2</v>
      </c>
      <c r="M34" s="493">
        <v>0.2148934350973204</v>
      </c>
      <c r="N34" s="493">
        <v>1.077692159803334E-2</v>
      </c>
      <c r="O34" s="493">
        <v>-6.2970636098605093E-2</v>
      </c>
      <c r="P34" s="511"/>
      <c r="V34" s="527"/>
      <c r="W34" s="523"/>
      <c r="X34" s="635"/>
      <c r="Y34" s="635"/>
      <c r="Z34" s="635"/>
      <c r="AA34" s="635"/>
      <c r="AB34" s="635"/>
      <c r="AC34" s="635"/>
      <c r="AD34" s="635"/>
      <c r="AE34" s="635"/>
    </row>
    <row r="35" spans="3:32" ht="3" customHeight="1">
      <c r="C35" s="474"/>
      <c r="H35" s="492"/>
      <c r="I35" s="492"/>
      <c r="J35" s="492"/>
      <c r="K35" s="492"/>
      <c r="L35" s="492"/>
      <c r="M35" s="492"/>
      <c r="N35" s="492"/>
      <c r="O35" s="492"/>
      <c r="P35" s="511"/>
      <c r="X35" s="636"/>
      <c r="Y35" s="636"/>
      <c r="Z35" s="636"/>
      <c r="AA35" s="636"/>
      <c r="AB35" s="636"/>
      <c r="AC35" s="636"/>
      <c r="AD35" s="636"/>
      <c r="AE35" s="636"/>
    </row>
    <row r="36" spans="3:32" ht="3" customHeight="1">
      <c r="C36" s="474"/>
      <c r="H36" s="490"/>
      <c r="I36" s="490"/>
      <c r="J36" s="490"/>
      <c r="K36" s="490"/>
      <c r="L36" s="490"/>
      <c r="M36" s="490"/>
      <c r="N36" s="490"/>
      <c r="O36" s="490"/>
      <c r="P36" s="511"/>
      <c r="X36" s="637"/>
      <c r="Y36" s="637"/>
      <c r="Z36" s="637"/>
      <c r="AA36" s="637"/>
      <c r="AB36" s="637"/>
      <c r="AC36" s="637"/>
      <c r="AD36" s="637"/>
      <c r="AE36" s="637"/>
    </row>
    <row r="37" spans="3:32">
      <c r="C37" s="474"/>
      <c r="E37" s="458" t="s">
        <v>15</v>
      </c>
      <c r="F37" s="486"/>
      <c r="H37" s="487">
        <v>50.199999999999989</v>
      </c>
      <c r="I37" s="487">
        <v>68.400000000000034</v>
      </c>
      <c r="J37" s="487">
        <v>33.099999999999966</v>
      </c>
      <c r="K37" s="487">
        <v>85.521774193548339</v>
      </c>
      <c r="L37" s="487">
        <v>58.538128645161294</v>
      </c>
      <c r="M37" s="487">
        <v>102.06509550816776</v>
      </c>
      <c r="N37" s="487">
        <v>95.265445066266977</v>
      </c>
      <c r="O37" s="487">
        <v>70.58071270915201</v>
      </c>
      <c r="P37" s="512"/>
      <c r="W37" s="523"/>
      <c r="X37" s="638"/>
      <c r="Y37" s="639"/>
      <c r="Z37" s="639"/>
      <c r="AA37" s="639"/>
      <c r="AB37" s="639"/>
      <c r="AC37" s="639"/>
      <c r="AD37" s="639"/>
      <c r="AE37" s="639"/>
    </row>
    <row r="38" spans="3:32">
      <c r="C38" s="474"/>
      <c r="E38" s="488" t="s">
        <v>16</v>
      </c>
      <c r="F38" s="489"/>
      <c r="G38" s="488"/>
      <c r="H38" s="493">
        <v>0.23512880562060884</v>
      </c>
      <c r="I38" s="493">
        <v>0.28909551986475074</v>
      </c>
      <c r="J38" s="493">
        <v>0.16162109374999983</v>
      </c>
      <c r="K38" s="493">
        <v>0.3238128739182648</v>
      </c>
      <c r="L38" s="493">
        <v>0.23927968911609662</v>
      </c>
      <c r="M38" s="493">
        <v>0.34340456338615949</v>
      </c>
      <c r="N38" s="493">
        <v>0.3171092417028567</v>
      </c>
      <c r="O38" s="493">
        <v>0.25073002104745662</v>
      </c>
      <c r="P38" s="513"/>
      <c r="V38" s="527"/>
      <c r="W38" s="523"/>
      <c r="X38" s="640"/>
      <c r="Y38" s="640"/>
      <c r="Z38" s="640"/>
      <c r="AA38" s="640"/>
      <c r="AB38" s="640"/>
      <c r="AC38" s="640"/>
      <c r="AD38" s="640"/>
      <c r="AE38" s="640"/>
    </row>
    <row r="39" spans="3:32">
      <c r="C39" s="474"/>
      <c r="E39" s="488" t="s">
        <v>13</v>
      </c>
      <c r="F39" s="489"/>
      <c r="G39" s="488"/>
      <c r="H39" s="494"/>
      <c r="I39" s="493">
        <v>0.36254980079681376</v>
      </c>
      <c r="J39" s="493">
        <v>-0.51608187134502992</v>
      </c>
      <c r="K39" s="493">
        <v>1.5837394016177773</v>
      </c>
      <c r="L39" s="493">
        <v>-0.31551784095731095</v>
      </c>
      <c r="M39" s="493">
        <v>0.7435660802697075</v>
      </c>
      <c r="N39" s="493">
        <v>-6.6620722863641846E-2</v>
      </c>
      <c r="O39" s="493">
        <v>-0.25911527878701646</v>
      </c>
      <c r="P39" s="513"/>
      <c r="V39" s="527"/>
      <c r="W39" s="523"/>
      <c r="Y39" s="135"/>
      <c r="Z39" s="135"/>
      <c r="AA39" s="135"/>
      <c r="AB39" s="135"/>
      <c r="AC39" s="135"/>
      <c r="AD39" s="135"/>
      <c r="AE39" s="135"/>
    </row>
    <row r="40" spans="3:32" ht="3" customHeight="1">
      <c r="C40" s="474"/>
      <c r="H40" s="492"/>
      <c r="I40" s="492"/>
      <c r="J40" s="492"/>
      <c r="K40" s="492"/>
      <c r="L40" s="492"/>
      <c r="M40" s="492"/>
      <c r="N40" s="492"/>
      <c r="O40" s="492"/>
      <c r="P40" s="511"/>
    </row>
    <row r="41" spans="3:32" ht="3" customHeight="1">
      <c r="C41" s="474"/>
      <c r="H41" s="490"/>
      <c r="I41" s="490"/>
      <c r="J41" s="490"/>
      <c r="K41" s="490"/>
      <c r="L41" s="490"/>
      <c r="M41" s="490"/>
      <c r="N41" s="490"/>
      <c r="O41" s="490"/>
      <c r="P41" s="511"/>
    </row>
    <row r="42" spans="3:32">
      <c r="C42" s="474"/>
      <c r="E42" s="458" t="s">
        <v>17</v>
      </c>
      <c r="F42" s="486"/>
      <c r="H42" s="487">
        <v>14.099999999999991</v>
      </c>
      <c r="I42" s="487">
        <v>23.700000000000035</v>
      </c>
      <c r="J42" s="487">
        <v>2.1999999999999651</v>
      </c>
      <c r="K42" s="487">
        <v>37.275619892473088</v>
      </c>
      <c r="L42" s="487">
        <v>20.353750286021508</v>
      </c>
      <c r="M42" s="487">
        <v>49.249695413642371</v>
      </c>
      <c r="N42" s="487">
        <v>45.427922626406868</v>
      </c>
      <c r="O42" s="487">
        <v>29.973263260948805</v>
      </c>
      <c r="P42" s="512"/>
      <c r="W42" s="523"/>
      <c r="X42" s="528"/>
      <c r="Y42" s="528"/>
      <c r="Z42" s="528"/>
      <c r="AA42" s="526"/>
      <c r="AB42" s="526"/>
      <c r="AC42" s="526"/>
      <c r="AD42" s="526"/>
      <c r="AE42" s="526"/>
    </row>
    <row r="43" spans="3:32">
      <c r="C43" s="474"/>
      <c r="E43" s="488" t="s">
        <v>16</v>
      </c>
      <c r="F43" s="489"/>
      <c r="G43" s="488"/>
      <c r="H43" s="493">
        <v>6.6042154566744685E-2</v>
      </c>
      <c r="I43" s="493">
        <v>0.10016906170752338</v>
      </c>
      <c r="J43" s="493">
        <v>1.074218749999983E-2</v>
      </c>
      <c r="K43" s="493">
        <v>0.14113745555780485</v>
      </c>
      <c r="L43" s="493">
        <v>8.3197723492455009E-2</v>
      </c>
      <c r="M43" s="493">
        <v>0.16570376058747499</v>
      </c>
      <c r="N43" s="493">
        <v>0.15121552296507232</v>
      </c>
      <c r="O43" s="493">
        <v>0.10647663702755691</v>
      </c>
      <c r="P43" s="512"/>
      <c r="W43" s="523"/>
      <c r="X43" s="528"/>
      <c r="Y43" s="528"/>
      <c r="Z43" s="528"/>
      <c r="AA43" s="526"/>
      <c r="AB43" s="526"/>
      <c r="AC43" s="526"/>
      <c r="AD43" s="526"/>
      <c r="AE43" s="526"/>
    </row>
    <row r="44" spans="3:32">
      <c r="C44" s="474"/>
      <c r="E44" s="488" t="s">
        <v>13</v>
      </c>
      <c r="F44" s="489"/>
      <c r="G44" s="488"/>
      <c r="H44" s="494"/>
      <c r="I44" s="493">
        <v>0.68085106382979088</v>
      </c>
      <c r="J44" s="493">
        <v>-0.9071729957805923</v>
      </c>
      <c r="K44" s="493">
        <v>15.943463587488036</v>
      </c>
      <c r="L44" s="493">
        <v>-0.45396614879283448</v>
      </c>
      <c r="M44" s="493">
        <v>1.4196865305685673</v>
      </c>
      <c r="N44" s="493">
        <v>-7.7599927372888011E-2</v>
      </c>
      <c r="O44" s="493">
        <v>-0.34020176296757187</v>
      </c>
      <c r="P44" s="512"/>
      <c r="W44" s="523"/>
      <c r="X44" s="528"/>
      <c r="Y44" s="528"/>
      <c r="Z44" s="528"/>
      <c r="AA44" s="526"/>
      <c r="AB44" s="526"/>
      <c r="AC44" s="526"/>
      <c r="AD44" s="526"/>
      <c r="AE44" s="526"/>
    </row>
    <row r="45" spans="3:32" ht="3.9" customHeight="1">
      <c r="C45" s="476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514"/>
    </row>
    <row r="46" spans="3:32" ht="9.9" customHeight="1"/>
    <row r="47" spans="3:32" ht="10.8" customHeight="1">
      <c r="C47" s="464" t="s">
        <v>19</v>
      </c>
      <c r="D47" s="465"/>
      <c r="E47" s="465"/>
      <c r="F47" s="465"/>
      <c r="G47" s="465"/>
      <c r="H47" s="463"/>
      <c r="I47" s="463"/>
      <c r="J47" s="463"/>
      <c r="K47" s="463"/>
      <c r="L47" s="463"/>
      <c r="M47" s="463"/>
      <c r="N47" s="463"/>
      <c r="O47" s="463"/>
      <c r="P47" s="463"/>
    </row>
    <row r="48" spans="3:32" s="457" customFormat="1" ht="15" customHeight="1">
      <c r="C48" s="466"/>
      <c r="D48" s="467"/>
      <c r="E48" s="467"/>
      <c r="F48" s="467"/>
      <c r="G48" s="467"/>
      <c r="H48" s="481"/>
      <c r="I48" s="481"/>
      <c r="J48" s="481"/>
      <c r="K48" s="499" t="s">
        <v>7</v>
      </c>
      <c r="L48" s="500"/>
      <c r="M48" s="500"/>
      <c r="N48" s="500"/>
      <c r="O48" s="500"/>
      <c r="P48" s="515"/>
    </row>
    <row r="49" spans="3:31" s="457" customFormat="1" ht="15" customHeight="1">
      <c r="C49" s="478"/>
      <c r="D49" s="469" t="s">
        <v>8</v>
      </c>
      <c r="E49" s="497"/>
      <c r="F49" s="469" t="s">
        <v>9</v>
      </c>
      <c r="G49" s="497"/>
      <c r="H49" s="498">
        <f>H28</f>
        <v>2020</v>
      </c>
      <c r="I49" s="498">
        <f t="shared" ref="I49:O49" si="19">I28</f>
        <v>2021</v>
      </c>
      <c r="J49" s="498">
        <f t="shared" si="19"/>
        <v>2022</v>
      </c>
      <c r="K49" s="506">
        <f t="shared" si="19"/>
        <v>2023</v>
      </c>
      <c r="L49" s="506">
        <f t="shared" si="19"/>
        <v>2024</v>
      </c>
      <c r="M49" s="506">
        <f t="shared" si="19"/>
        <v>2025</v>
      </c>
      <c r="N49" s="506">
        <f t="shared" si="19"/>
        <v>2026</v>
      </c>
      <c r="O49" s="506">
        <f t="shared" si="19"/>
        <v>2027</v>
      </c>
      <c r="P49" s="517"/>
    </row>
    <row r="50" spans="3:31" ht="3" customHeight="1">
      <c r="C50" s="470"/>
      <c r="D50" s="471"/>
      <c r="E50" s="471"/>
      <c r="F50" s="471"/>
      <c r="G50" s="471"/>
      <c r="H50" s="484"/>
      <c r="I50" s="484"/>
      <c r="J50" s="502"/>
      <c r="K50" s="503"/>
      <c r="L50" s="503"/>
      <c r="M50" s="503"/>
      <c r="N50" s="503"/>
      <c r="O50" s="503"/>
      <c r="P50" s="509"/>
      <c r="X50" s="457"/>
      <c r="Y50" s="457"/>
      <c r="Z50" s="457"/>
      <c r="AA50" s="457"/>
      <c r="AB50" s="457"/>
      <c r="AC50" s="457"/>
      <c r="AD50" s="457"/>
      <c r="AE50" s="457"/>
    </row>
    <row r="51" spans="3:31" ht="3" customHeight="1">
      <c r="C51" s="472"/>
      <c r="D51" s="473"/>
      <c r="E51" s="473"/>
      <c r="F51" s="473"/>
      <c r="G51" s="473"/>
      <c r="H51" s="485"/>
      <c r="I51" s="485"/>
      <c r="J51" s="504"/>
      <c r="K51" s="505"/>
      <c r="L51" s="505"/>
      <c r="M51" s="505"/>
      <c r="N51" s="505"/>
      <c r="O51" s="505"/>
      <c r="P51" s="510"/>
      <c r="X51" s="457"/>
      <c r="Y51" s="457"/>
      <c r="Z51" s="457"/>
      <c r="AA51" s="457"/>
      <c r="AB51" s="457"/>
      <c r="AC51" s="457"/>
      <c r="AD51" s="457"/>
      <c r="AE51" s="457"/>
    </row>
    <row r="52" spans="3:31" ht="12.9" customHeight="1">
      <c r="C52" s="474"/>
      <c r="D52" s="475" t="s">
        <v>10</v>
      </c>
      <c r="P52" s="511"/>
      <c r="X52" s="457"/>
      <c r="Y52" s="457"/>
      <c r="Z52" s="457"/>
      <c r="AA52" s="457"/>
      <c r="AB52" s="457"/>
      <c r="AC52" s="457"/>
      <c r="AD52" s="457"/>
      <c r="AE52" s="457"/>
    </row>
    <row r="53" spans="3:31">
      <c r="C53" s="474"/>
      <c r="E53" s="458" t="s">
        <v>11</v>
      </c>
      <c r="F53" s="486"/>
      <c r="H53" s="487">
        <v>213.5</v>
      </c>
      <c r="I53" s="487">
        <v>236.60000000000002</v>
      </c>
      <c r="J53" s="487">
        <v>204.79999999999998</v>
      </c>
      <c r="K53" s="487">
        <v>238.41460829493093</v>
      </c>
      <c r="L53" s="487">
        <v>220.17078571428573</v>
      </c>
      <c r="M53" s="487">
        <v>262.60854165748856</v>
      </c>
      <c r="N53" s="487">
        <v>259.93619218654328</v>
      </c>
      <c r="O53" s="487">
        <v>244.66998081661546</v>
      </c>
      <c r="P53" s="511"/>
      <c r="W53" s="523"/>
      <c r="X53" s="457"/>
      <c r="Y53" s="457"/>
      <c r="Z53" s="457"/>
      <c r="AA53" s="457"/>
      <c r="AB53" s="457"/>
      <c r="AC53" s="457"/>
      <c r="AD53" s="457"/>
      <c r="AE53" s="457"/>
    </row>
    <row r="54" spans="3:31">
      <c r="C54" s="474"/>
      <c r="E54" s="488" t="s">
        <v>13</v>
      </c>
      <c r="F54" s="489"/>
      <c r="G54" s="488"/>
      <c r="H54" s="490"/>
      <c r="I54" s="493">
        <v>0.10819672131147562</v>
      </c>
      <c r="J54" s="493">
        <v>-0.13440405748098072</v>
      </c>
      <c r="K54" s="493">
        <v>0.16413382956509248</v>
      </c>
      <c r="L54" s="493">
        <v>-7.6521412471825867E-2</v>
      </c>
      <c r="M54" s="493">
        <v>0.19274925965097855</v>
      </c>
      <c r="N54" s="493">
        <v>-1.0176171171274118E-2</v>
      </c>
      <c r="O54" s="493">
        <v>-5.8730610929977778E-2</v>
      </c>
      <c r="P54" s="511"/>
      <c r="V54" s="527"/>
      <c r="W54" s="523"/>
      <c r="X54" s="457"/>
      <c r="Y54" s="457"/>
      <c r="Z54" s="457"/>
      <c r="AA54" s="457"/>
      <c r="AB54" s="457"/>
      <c r="AC54" s="457"/>
      <c r="AD54" s="457"/>
      <c r="AE54" s="457"/>
    </row>
    <row r="55" spans="3:31" ht="3" customHeight="1">
      <c r="C55" s="474"/>
      <c r="H55" s="492"/>
      <c r="I55" s="492"/>
      <c r="J55" s="492"/>
      <c r="K55" s="492"/>
      <c r="L55" s="492"/>
      <c r="M55" s="492"/>
      <c r="N55" s="492"/>
      <c r="O55" s="492"/>
      <c r="P55" s="511"/>
      <c r="X55" s="457"/>
      <c r="Y55" s="457"/>
      <c r="Z55" s="457"/>
      <c r="AA55" s="457"/>
      <c r="AB55" s="457"/>
      <c r="AC55" s="457"/>
      <c r="AD55" s="457"/>
      <c r="AE55" s="457"/>
    </row>
    <row r="56" spans="3:31" ht="3" customHeight="1">
      <c r="C56" s="474"/>
      <c r="H56" s="490"/>
      <c r="I56" s="490"/>
      <c r="J56" s="490"/>
      <c r="K56" s="490"/>
      <c r="L56" s="490"/>
      <c r="M56" s="490"/>
      <c r="N56" s="490"/>
      <c r="O56" s="490"/>
      <c r="P56" s="511"/>
      <c r="X56" s="457"/>
      <c r="Y56" s="457"/>
      <c r="Z56" s="457"/>
      <c r="AA56" s="457"/>
      <c r="AB56" s="457"/>
      <c r="AC56" s="457"/>
      <c r="AD56" s="457"/>
      <c r="AE56" s="457"/>
    </row>
    <row r="57" spans="3:31">
      <c r="C57" s="474"/>
      <c r="E57" s="458" t="s">
        <v>15</v>
      </c>
      <c r="F57" s="486"/>
      <c r="H57" s="487">
        <v>50.199999999999989</v>
      </c>
      <c r="I57" s="487">
        <v>68.400000000000034</v>
      </c>
      <c r="J57" s="487">
        <v>33.099999999999966</v>
      </c>
      <c r="K57" s="487">
        <v>60.834294930875643</v>
      </c>
      <c r="L57" s="487">
        <v>33.859071668202773</v>
      </c>
      <c r="M57" s="487">
        <v>68.207666428336495</v>
      </c>
      <c r="N57" s="487">
        <v>57.052627960241011</v>
      </c>
      <c r="O57" s="487">
        <v>34.164573612547684</v>
      </c>
      <c r="P57" s="512"/>
      <c r="W57" s="523"/>
      <c r="X57" s="457"/>
      <c r="Y57" s="457"/>
      <c r="Z57" s="457"/>
      <c r="AA57" s="457"/>
      <c r="AB57" s="457"/>
      <c r="AC57" s="457"/>
      <c r="AD57" s="457"/>
      <c r="AE57" s="457"/>
    </row>
    <row r="58" spans="3:31">
      <c r="C58" s="474"/>
      <c r="E58" s="488" t="s">
        <v>16</v>
      </c>
      <c r="F58" s="489"/>
      <c r="G58" s="488"/>
      <c r="H58" s="493">
        <v>0.23512880562060884</v>
      </c>
      <c r="I58" s="493">
        <v>0.28909551986475074</v>
      </c>
      <c r="J58" s="493">
        <v>0.16162109374999983</v>
      </c>
      <c r="K58" s="493">
        <v>0.25516177622648251</v>
      </c>
      <c r="L58" s="493">
        <v>0.15378548774468873</v>
      </c>
      <c r="M58" s="493">
        <v>0.25973133241529306</v>
      </c>
      <c r="N58" s="493">
        <v>0.21948704980373482</v>
      </c>
      <c r="O58" s="493">
        <v>0.13963533040922843</v>
      </c>
      <c r="P58" s="513"/>
      <c r="V58" s="527"/>
      <c r="W58" s="523"/>
      <c r="X58" s="457"/>
      <c r="Y58" s="457"/>
      <c r="Z58" s="457"/>
      <c r="AA58" s="457"/>
      <c r="AB58" s="457"/>
      <c r="AC58" s="457"/>
      <c r="AD58" s="457"/>
      <c r="AE58" s="457"/>
    </row>
    <row r="59" spans="3:31">
      <c r="C59" s="474"/>
      <c r="E59" s="488" t="s">
        <v>13</v>
      </c>
      <c r="F59" s="489"/>
      <c r="G59" s="488"/>
      <c r="H59" s="494"/>
      <c r="I59" s="493">
        <v>0.36254980079681376</v>
      </c>
      <c r="J59" s="493">
        <v>-0.51608187134502992</v>
      </c>
      <c r="K59" s="493">
        <v>0.83789410667298214</v>
      </c>
      <c r="L59" s="493">
        <v>-0.44342131840804733</v>
      </c>
      <c r="M59" s="493">
        <v>1.0144576643071601</v>
      </c>
      <c r="N59" s="493">
        <v>-0.16354522962335483</v>
      </c>
      <c r="O59" s="493">
        <v>-0.40117440976853191</v>
      </c>
      <c r="P59" s="513"/>
      <c r="V59" s="527"/>
      <c r="W59" s="523"/>
      <c r="X59" s="457"/>
      <c r="Y59" s="457"/>
      <c r="Z59" s="457"/>
      <c r="AA59" s="457"/>
      <c r="AB59" s="457"/>
      <c r="AC59" s="457"/>
      <c r="AD59" s="457"/>
      <c r="AE59" s="457"/>
    </row>
    <row r="60" spans="3:31" ht="3" customHeight="1">
      <c r="C60" s="474"/>
      <c r="H60" s="492"/>
      <c r="I60" s="492"/>
      <c r="J60" s="492"/>
      <c r="K60" s="492"/>
      <c r="L60" s="492"/>
      <c r="M60" s="492"/>
      <c r="N60" s="492"/>
      <c r="O60" s="492"/>
      <c r="P60" s="511"/>
      <c r="X60" s="457"/>
      <c r="Y60" s="457"/>
      <c r="Z60" s="457"/>
      <c r="AA60" s="457"/>
      <c r="AB60" s="457"/>
      <c r="AC60" s="457"/>
      <c r="AD60" s="457"/>
      <c r="AE60" s="457"/>
    </row>
    <row r="61" spans="3:31" ht="3" customHeight="1">
      <c r="C61" s="474"/>
      <c r="H61" s="490"/>
      <c r="I61" s="490"/>
      <c r="J61" s="490"/>
      <c r="K61" s="490"/>
      <c r="L61" s="490"/>
      <c r="M61" s="490"/>
      <c r="N61" s="490"/>
      <c r="O61" s="490"/>
      <c r="P61" s="511"/>
      <c r="X61" s="457"/>
      <c r="Y61" s="457"/>
      <c r="Z61" s="457"/>
      <c r="AA61" s="457"/>
      <c r="AB61" s="457"/>
      <c r="AC61" s="457"/>
      <c r="AD61" s="457"/>
      <c r="AE61" s="457"/>
    </row>
    <row r="62" spans="3:31">
      <c r="C62" s="474"/>
      <c r="E62" s="458" t="s">
        <v>17</v>
      </c>
      <c r="F62" s="486"/>
      <c r="H62" s="487">
        <v>14.099999999999991</v>
      </c>
      <c r="I62" s="487">
        <v>23.700000000000035</v>
      </c>
      <c r="J62" s="487">
        <v>2.1999999999999651</v>
      </c>
      <c r="K62" s="487">
        <v>21.228758371735836</v>
      </c>
      <c r="L62" s="487">
        <v>4.0836355136990585</v>
      </c>
      <c r="M62" s="487">
        <v>26.465118684638874</v>
      </c>
      <c r="N62" s="487">
        <v>19.699196132395553</v>
      </c>
      <c r="O62" s="487">
        <v>5.1078376959365208</v>
      </c>
      <c r="P62" s="512"/>
      <c r="W62" s="523"/>
      <c r="X62" s="457"/>
      <c r="Y62" s="457"/>
      <c r="Z62" s="457"/>
      <c r="AA62" s="457"/>
      <c r="AB62" s="457"/>
      <c r="AC62" s="457"/>
      <c r="AD62" s="457"/>
      <c r="AE62" s="457"/>
    </row>
    <row r="63" spans="3:31">
      <c r="C63" s="474"/>
      <c r="E63" s="488" t="s">
        <v>16</v>
      </c>
      <c r="F63" s="489"/>
      <c r="G63" s="488"/>
      <c r="H63" s="493">
        <v>6.6042154566744685E-2</v>
      </c>
      <c r="I63" s="493">
        <v>0.10016906170752338</v>
      </c>
      <c r="J63" s="493">
        <v>1.074218749999983E-2</v>
      </c>
      <c r="K63" s="493">
        <v>8.9041349116807417E-2</v>
      </c>
      <c r="L63" s="493">
        <v>1.8547581144568233E-2</v>
      </c>
      <c r="M63" s="493">
        <v>0.10077782892209361</v>
      </c>
      <c r="N63" s="493">
        <v>7.578473765691858E-2</v>
      </c>
      <c r="O63" s="493">
        <v>2.087643804478383E-2</v>
      </c>
      <c r="P63" s="512"/>
      <c r="W63" s="523"/>
      <c r="X63" s="457"/>
      <c r="Y63" s="457"/>
      <c r="Z63" s="457"/>
      <c r="AA63" s="457"/>
      <c r="AB63" s="457"/>
      <c r="AC63" s="457"/>
      <c r="AD63" s="457"/>
      <c r="AE63" s="457"/>
    </row>
    <row r="64" spans="3:31">
      <c r="C64" s="474"/>
      <c r="E64" s="488" t="s">
        <v>13</v>
      </c>
      <c r="F64" s="489"/>
      <c r="G64" s="488"/>
      <c r="H64" s="494"/>
      <c r="I64" s="493">
        <v>0.68085106382979088</v>
      </c>
      <c r="J64" s="493">
        <v>-0.9071729957805923</v>
      </c>
      <c r="K64" s="493">
        <v>8.6494356235164425</v>
      </c>
      <c r="L64" s="493">
        <v>-0.80763662941606384</v>
      </c>
      <c r="M64" s="493">
        <v>5.4807739564068276</v>
      </c>
      <c r="N64" s="493">
        <v>-0.25565434385036256</v>
      </c>
      <c r="O64" s="493">
        <v>-0.74070831816651528</v>
      </c>
      <c r="P64" s="512"/>
      <c r="W64" s="523"/>
      <c r="X64" s="457"/>
      <c r="Y64" s="457"/>
      <c r="Z64" s="457"/>
      <c r="AA64" s="457"/>
      <c r="AB64" s="457"/>
      <c r="AC64" s="457"/>
      <c r="AD64" s="457"/>
      <c r="AE64" s="457"/>
    </row>
    <row r="65" spans="2:31" ht="3.9" customHeight="1">
      <c r="C65" s="476"/>
      <c r="D65" s="477"/>
      <c r="E65" s="477"/>
      <c r="F65" s="477"/>
      <c r="G65" s="477"/>
      <c r="H65" s="477"/>
      <c r="I65" s="477"/>
      <c r="J65" s="477"/>
      <c r="K65" s="477"/>
      <c r="L65" s="477"/>
      <c r="M65" s="477"/>
      <c r="N65" s="477"/>
      <c r="O65" s="477"/>
      <c r="P65" s="514"/>
      <c r="X65" s="457"/>
      <c r="Y65" s="457"/>
      <c r="Z65" s="457"/>
      <c r="AA65" s="457"/>
      <c r="AB65" s="457"/>
      <c r="AC65" s="457"/>
      <c r="AD65" s="457"/>
      <c r="AE65" s="457"/>
    </row>
    <row r="66" spans="2:31" ht="12" customHeight="1">
      <c r="B66" s="631"/>
      <c r="C66" s="631"/>
      <c r="D66" s="631"/>
      <c r="E66" s="631"/>
      <c r="F66" s="631"/>
      <c r="G66" s="631"/>
      <c r="H66" s="631"/>
      <c r="I66" s="631"/>
      <c r="J66" s="631"/>
      <c r="K66" s="631"/>
      <c r="L66" s="631"/>
      <c r="M66" s="631"/>
      <c r="N66" s="631"/>
      <c r="O66" s="631"/>
      <c r="P66" s="631"/>
      <c r="Q66" s="631"/>
      <c r="X66" s="457"/>
      <c r="Y66" s="457"/>
      <c r="Z66" s="457"/>
      <c r="AA66" s="457"/>
      <c r="AB66" s="457"/>
      <c r="AC66" s="457"/>
      <c r="AD66" s="457"/>
      <c r="AE66" s="457"/>
    </row>
    <row r="67" spans="2:31" ht="17.399999999999999">
      <c r="C67" s="464" t="s">
        <v>6</v>
      </c>
      <c r="D67" s="465"/>
      <c r="E67" s="465"/>
      <c r="F67" s="465"/>
      <c r="G67" s="465"/>
      <c r="H67" s="463"/>
      <c r="I67" s="463"/>
      <c r="J67" s="463"/>
      <c r="K67" s="463"/>
      <c r="L67" s="463"/>
      <c r="M67" s="463"/>
      <c r="N67" s="463"/>
      <c r="O67" s="463"/>
      <c r="P67" s="463"/>
    </row>
    <row r="68" spans="2:31" s="457" customFormat="1" ht="15" customHeight="1">
      <c r="C68" s="645"/>
      <c r="D68" s="646"/>
      <c r="E68" s="646"/>
      <c r="F68" s="646"/>
      <c r="G68" s="646"/>
      <c r="H68" s="647"/>
      <c r="I68" s="647"/>
      <c r="J68" s="647"/>
      <c r="K68" s="648" t="s">
        <v>7</v>
      </c>
      <c r="L68" s="649"/>
      <c r="M68" s="649"/>
      <c r="N68" s="649"/>
      <c r="O68" s="649"/>
      <c r="P68" s="650"/>
    </row>
    <row r="69" spans="2:31" s="457" customFormat="1" ht="15" customHeight="1">
      <c r="C69" s="651"/>
      <c r="D69" s="652" t="s">
        <v>8</v>
      </c>
      <c r="E69" s="497"/>
      <c r="F69" s="652" t="s">
        <v>9</v>
      </c>
      <c r="G69" s="497"/>
      <c r="H69" s="498">
        <f>H49</f>
        <v>2020</v>
      </c>
      <c r="I69" s="498">
        <f t="shared" ref="I69:O69" si="20">I49</f>
        <v>2021</v>
      </c>
      <c r="J69" s="498">
        <f t="shared" si="20"/>
        <v>2022</v>
      </c>
      <c r="K69" s="506">
        <f t="shared" si="20"/>
        <v>2023</v>
      </c>
      <c r="L69" s="506">
        <f>L49</f>
        <v>2024</v>
      </c>
      <c r="M69" s="506">
        <f t="shared" si="20"/>
        <v>2025</v>
      </c>
      <c r="N69" s="506">
        <f t="shared" si="20"/>
        <v>2026</v>
      </c>
      <c r="O69" s="506">
        <f t="shared" si="20"/>
        <v>2027</v>
      </c>
      <c r="P69" s="653"/>
    </row>
    <row r="70" spans="2:31" ht="3" customHeight="1">
      <c r="C70" s="654"/>
      <c r="D70" s="655"/>
      <c r="E70" s="655"/>
      <c r="F70" s="655"/>
      <c r="G70" s="655"/>
      <c r="H70" s="656"/>
      <c r="I70" s="656"/>
      <c r="J70" s="657"/>
      <c r="K70" s="658"/>
      <c r="L70" s="658"/>
      <c r="M70" s="658"/>
      <c r="N70" s="658"/>
      <c r="O70" s="658"/>
      <c r="P70" s="659"/>
      <c r="X70" s="457"/>
      <c r="Y70" s="457"/>
      <c r="Z70" s="457"/>
      <c r="AA70" s="457"/>
      <c r="AB70" s="457"/>
      <c r="AC70" s="457"/>
      <c r="AD70" s="457"/>
      <c r="AE70" s="457"/>
    </row>
    <row r="71" spans="2:31" ht="3" customHeight="1">
      <c r="C71" s="660"/>
      <c r="D71" s="641"/>
      <c r="E71" s="641"/>
      <c r="F71" s="641"/>
      <c r="G71" s="641"/>
      <c r="H71" s="661"/>
      <c r="I71" s="661"/>
      <c r="J71" s="662"/>
      <c r="K71" s="642"/>
      <c r="L71" s="642"/>
      <c r="M71" s="642"/>
      <c r="N71" s="642"/>
      <c r="O71" s="642"/>
      <c r="P71" s="663"/>
      <c r="X71" s="457"/>
      <c r="Y71" s="457"/>
      <c r="Z71" s="457"/>
      <c r="AA71" s="457"/>
      <c r="AB71" s="457"/>
      <c r="AC71" s="457"/>
      <c r="AD71" s="457"/>
      <c r="AE71" s="457"/>
    </row>
    <row r="72" spans="2:31" s="635" customFormat="1">
      <c r="C72" s="664"/>
      <c r="D72" s="665" t="s">
        <v>339</v>
      </c>
      <c r="E72" s="640"/>
      <c r="F72" s="640"/>
      <c r="G72" s="640"/>
      <c r="H72" s="666"/>
      <c r="I72" s="666"/>
      <c r="J72" s="667"/>
      <c r="K72" s="643"/>
      <c r="L72" s="643"/>
      <c r="M72" s="643"/>
      <c r="N72" s="643"/>
      <c r="O72" s="643"/>
      <c r="P72" s="668"/>
      <c r="X72" s="644"/>
      <c r="Y72" s="644"/>
      <c r="Z72" s="644"/>
      <c r="AA72" s="644"/>
      <c r="AB72" s="644"/>
      <c r="AC72" s="644"/>
      <c r="AD72" s="644"/>
      <c r="AE72" s="644"/>
    </row>
    <row r="73" spans="2:31">
      <c r="C73" s="519"/>
      <c r="D73" s="631"/>
      <c r="E73" s="631" t="s">
        <v>154</v>
      </c>
      <c r="F73" s="486"/>
      <c r="G73" s="631"/>
      <c r="H73" s="524">
        <v>250</v>
      </c>
      <c r="I73" s="524">
        <v>225</v>
      </c>
      <c r="J73" s="524">
        <v>200</v>
      </c>
      <c r="K73" s="524">
        <v>175</v>
      </c>
      <c r="L73" s="524">
        <v>150</v>
      </c>
      <c r="M73" s="524">
        <v>125</v>
      </c>
      <c r="N73" s="524">
        <v>100</v>
      </c>
      <c r="O73" s="524">
        <v>75</v>
      </c>
      <c r="P73" s="531"/>
    </row>
    <row r="74" spans="2:31">
      <c r="C74" s="519"/>
      <c r="D74" s="631"/>
      <c r="E74" s="632" t="s">
        <v>13</v>
      </c>
      <c r="F74" s="633"/>
      <c r="G74" s="631"/>
      <c r="H74" s="631"/>
      <c r="I74" s="634">
        <v>-9.9999999999999978E-2</v>
      </c>
      <c r="J74" s="634">
        <v>-0.11111111111111116</v>
      </c>
      <c r="K74" s="634">
        <v>-0.125</v>
      </c>
      <c r="L74" s="634">
        <v>-0.1428571428571429</v>
      </c>
      <c r="M74" s="634">
        <v>-0.16666666666666663</v>
      </c>
      <c r="N74" s="634">
        <v>-0.19999999999999996</v>
      </c>
      <c r="O74" s="634">
        <v>-0.25</v>
      </c>
      <c r="P74" s="531"/>
    </row>
    <row r="75" spans="2:31" ht="3" customHeight="1">
      <c r="C75" s="474"/>
      <c r="H75" s="492"/>
      <c r="I75" s="492"/>
      <c r="J75" s="492"/>
      <c r="K75" s="492"/>
      <c r="L75" s="492"/>
      <c r="M75" s="492"/>
      <c r="N75" s="492"/>
      <c r="O75" s="492"/>
      <c r="P75" s="511"/>
      <c r="X75" s="457"/>
      <c r="Y75" s="457"/>
      <c r="Z75" s="457"/>
      <c r="AA75" s="457"/>
      <c r="AB75" s="457"/>
      <c r="AC75" s="457"/>
      <c r="AD75" s="457"/>
      <c r="AE75" s="457"/>
    </row>
    <row r="76" spans="2:31" ht="3" customHeight="1">
      <c r="C76" s="631"/>
      <c r="H76" s="670"/>
      <c r="I76" s="670"/>
      <c r="J76" s="670"/>
      <c r="K76" s="670"/>
      <c r="L76" s="670"/>
      <c r="M76" s="670"/>
      <c r="N76" s="670"/>
      <c r="O76" s="670"/>
      <c r="P76" s="631"/>
      <c r="X76" s="457"/>
      <c r="Y76" s="457"/>
      <c r="Z76" s="457"/>
      <c r="AA76" s="457"/>
      <c r="AB76" s="457"/>
      <c r="AC76" s="457"/>
      <c r="AD76" s="457"/>
      <c r="AE76" s="457"/>
    </row>
    <row r="77" spans="2:31">
      <c r="C77" s="519"/>
      <c r="D77" s="631"/>
      <c r="E77" s="631" t="s">
        <v>152</v>
      </c>
      <c r="F77" s="486"/>
      <c r="G77" s="631"/>
      <c r="H77" s="524">
        <v>0</v>
      </c>
      <c r="I77" s="524">
        <v>0</v>
      </c>
      <c r="J77" s="524">
        <v>0</v>
      </c>
      <c r="K77" s="524">
        <v>1.0770176226248356</v>
      </c>
      <c r="L77" s="524">
        <v>7.7435850932843859</v>
      </c>
      <c r="M77" s="524">
        <v>1.2289546319609022</v>
      </c>
      <c r="N77" s="524">
        <v>0</v>
      </c>
      <c r="O77" s="524">
        <v>2.6139755760435204</v>
      </c>
      <c r="P77" s="531"/>
    </row>
    <row r="78" spans="2:31">
      <c r="C78" s="519"/>
      <c r="D78" s="631"/>
      <c r="E78" s="632" t="s">
        <v>13</v>
      </c>
      <c r="F78" s="633"/>
      <c r="G78" s="631"/>
      <c r="H78" s="631"/>
      <c r="I78" s="634" t="s">
        <v>338</v>
      </c>
      <c r="J78" s="634" t="s">
        <v>338</v>
      </c>
      <c r="K78" s="634" t="s">
        <v>338</v>
      </c>
      <c r="L78" s="634">
        <v>6.1898406586999348</v>
      </c>
      <c r="M78" s="634">
        <v>-0.84129384294792453</v>
      </c>
      <c r="N78" s="634">
        <v>-1</v>
      </c>
      <c r="O78" s="634" t="s">
        <v>338</v>
      </c>
      <c r="P78" s="531"/>
    </row>
    <row r="79" spans="2:31" ht="3" customHeight="1">
      <c r="C79" s="474"/>
      <c r="H79" s="492"/>
      <c r="I79" s="492"/>
      <c r="J79" s="492"/>
      <c r="K79" s="492"/>
      <c r="L79" s="492"/>
      <c r="M79" s="492"/>
      <c r="N79" s="492"/>
      <c r="O79" s="492"/>
      <c r="P79" s="511"/>
      <c r="X79" s="457"/>
      <c r="Y79" s="457"/>
      <c r="Z79" s="457"/>
      <c r="AA79" s="457"/>
      <c r="AB79" s="457"/>
      <c r="AC79" s="457"/>
      <c r="AD79" s="457"/>
      <c r="AE79" s="457"/>
    </row>
    <row r="80" spans="2:31" ht="3" customHeight="1">
      <c r="C80" s="631"/>
      <c r="H80" s="670"/>
      <c r="I80" s="670"/>
      <c r="J80" s="670"/>
      <c r="K80" s="670"/>
      <c r="L80" s="670"/>
      <c r="M80" s="670"/>
      <c r="N80" s="670"/>
      <c r="O80" s="670"/>
      <c r="P80" s="631"/>
      <c r="X80" s="457"/>
      <c r="Y80" s="457"/>
      <c r="Z80" s="457"/>
      <c r="AA80" s="457"/>
      <c r="AB80" s="457"/>
      <c r="AC80" s="457"/>
      <c r="AD80" s="457"/>
      <c r="AE80" s="457"/>
    </row>
    <row r="81" spans="3:28">
      <c r="C81" s="519"/>
      <c r="D81" s="631"/>
      <c r="E81" s="631" t="s">
        <v>159</v>
      </c>
      <c r="F81" s="486"/>
      <c r="G81" s="631"/>
      <c r="H81" s="524">
        <v>239.7</v>
      </c>
      <c r="I81" s="524">
        <v>258.7</v>
      </c>
      <c r="J81" s="524">
        <v>258.5</v>
      </c>
      <c r="K81" s="524">
        <v>282.26429913978495</v>
      </c>
      <c r="L81" s="524">
        <v>292.57132912071171</v>
      </c>
      <c r="M81" s="524">
        <v>323.613216607862</v>
      </c>
      <c r="N81" s="524">
        <v>350.26831987666549</v>
      </c>
      <c r="O81" s="524">
        <v>365.80284974674549</v>
      </c>
      <c r="P81" s="531"/>
    </row>
    <row r="82" spans="3:28">
      <c r="C82" s="519"/>
      <c r="D82" s="631"/>
      <c r="E82" s="632" t="s">
        <v>13</v>
      </c>
      <c r="F82" s="633"/>
      <c r="G82" s="631"/>
      <c r="H82" s="631"/>
      <c r="I82" s="634">
        <v>7.9265748852732631E-2</v>
      </c>
      <c r="J82" s="634">
        <v>-7.7309625048316288E-4</v>
      </c>
      <c r="K82" s="634">
        <v>9.1931524718703805E-2</v>
      </c>
      <c r="L82" s="634">
        <v>3.6515528220671056E-2</v>
      </c>
      <c r="M82" s="634">
        <v>0.1061002374376292</v>
      </c>
      <c r="N82" s="634">
        <v>8.2367165186280955E-2</v>
      </c>
      <c r="O82" s="634">
        <v>4.4350370811582218E-2</v>
      </c>
      <c r="P82" s="531"/>
    </row>
    <row r="83" spans="3:28" ht="7.8" customHeight="1">
      <c r="C83" s="520"/>
      <c r="D83" s="525"/>
      <c r="E83" s="525"/>
      <c r="F83" s="525"/>
      <c r="G83" s="525"/>
      <c r="H83" s="525"/>
      <c r="I83" s="525"/>
      <c r="J83" s="525"/>
      <c r="K83" s="525"/>
      <c r="L83" s="525"/>
      <c r="M83" s="525"/>
      <c r="N83" s="525"/>
      <c r="O83" s="525"/>
      <c r="P83" s="532"/>
    </row>
    <row r="85" spans="3:28" ht="17.399999999999999">
      <c r="C85" s="464" t="s">
        <v>340</v>
      </c>
      <c r="D85" s="465"/>
      <c r="E85" s="465"/>
      <c r="F85" s="465"/>
      <c r="G85" s="465"/>
      <c r="H85" s="463"/>
      <c r="I85" s="463"/>
      <c r="J85" s="463"/>
      <c r="K85" s="463"/>
      <c r="L85" s="463"/>
      <c r="M85" s="463"/>
      <c r="N85" s="463"/>
      <c r="O85" s="463"/>
      <c r="P85" s="463"/>
    </row>
    <row r="86" spans="3:28">
      <c r="C86" s="682"/>
      <c r="D86" s="683"/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S86" s="683"/>
      <c r="T86" s="683"/>
      <c r="U86" s="683"/>
      <c r="V86" s="683"/>
      <c r="W86" s="683"/>
      <c r="X86" s="683"/>
      <c r="Y86" s="683"/>
      <c r="Z86" s="683"/>
      <c r="AA86" s="683"/>
      <c r="AB86" s="684"/>
    </row>
    <row r="87" spans="3:28">
      <c r="C87" s="685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86"/>
      <c r="AB87" s="687"/>
    </row>
    <row r="88" spans="3:28">
      <c r="C88" s="685"/>
      <c r="D88" s="686"/>
      <c r="E88" s="686"/>
      <c r="F88" s="686"/>
      <c r="G88" s="686"/>
      <c r="H88" s="686"/>
      <c r="I88" s="686"/>
      <c r="J88" s="686"/>
      <c r="K88" s="686"/>
      <c r="L88" s="686"/>
      <c r="M88" s="686"/>
      <c r="N88" s="686"/>
      <c r="O88" s="686"/>
      <c r="P88" s="686"/>
      <c r="Q88" s="686"/>
      <c r="R88" s="686"/>
      <c r="S88" s="686"/>
      <c r="T88" s="686"/>
      <c r="U88" s="686"/>
      <c r="V88" s="686"/>
      <c r="W88" s="686"/>
      <c r="X88" s="686"/>
      <c r="Y88" s="686"/>
      <c r="Z88" s="686"/>
      <c r="AA88" s="686"/>
      <c r="AB88" s="687"/>
    </row>
    <row r="89" spans="3:28">
      <c r="C89" s="685"/>
      <c r="D89" s="686"/>
      <c r="E89" s="686"/>
      <c r="F89" s="686"/>
      <c r="G89" s="686"/>
      <c r="H89" s="686"/>
      <c r="I89" s="686"/>
      <c r="J89" s="686"/>
      <c r="K89" s="686"/>
      <c r="L89" s="686"/>
      <c r="M89" s="686"/>
      <c r="N89" s="686"/>
      <c r="O89" s="686"/>
      <c r="P89" s="686"/>
      <c r="Q89" s="686"/>
      <c r="R89" s="686"/>
      <c r="S89" s="686"/>
      <c r="T89" s="686"/>
      <c r="U89" s="686"/>
      <c r="V89" s="686"/>
      <c r="W89" s="686"/>
      <c r="X89" s="686"/>
      <c r="Y89" s="686"/>
      <c r="Z89" s="686"/>
      <c r="AA89" s="686"/>
      <c r="AB89" s="687"/>
    </row>
    <row r="90" spans="3:28">
      <c r="C90" s="685"/>
      <c r="D90" s="686"/>
      <c r="E90" s="686"/>
      <c r="F90" s="686"/>
      <c r="G90" s="686"/>
      <c r="H90" s="686"/>
      <c r="I90" s="686"/>
      <c r="J90" s="686"/>
      <c r="K90" s="686"/>
      <c r="L90" s="686"/>
      <c r="M90" s="686"/>
      <c r="N90" s="686"/>
      <c r="O90" s="686"/>
      <c r="P90" s="686"/>
      <c r="Q90" s="686"/>
      <c r="R90" s="686"/>
      <c r="S90" s="686"/>
      <c r="T90" s="686"/>
      <c r="U90" s="686"/>
      <c r="V90" s="686"/>
      <c r="W90" s="686"/>
      <c r="X90" s="686"/>
      <c r="Y90" s="686"/>
      <c r="Z90" s="686"/>
      <c r="AA90" s="686"/>
      <c r="AB90" s="687"/>
    </row>
    <row r="91" spans="3:28">
      <c r="C91" s="685"/>
      <c r="D91" s="686"/>
      <c r="E91" s="686"/>
      <c r="F91" s="686"/>
      <c r="G91" s="686"/>
      <c r="H91" s="686"/>
      <c r="I91" s="686"/>
      <c r="J91" s="686"/>
      <c r="K91" s="686"/>
      <c r="L91" s="686"/>
      <c r="M91" s="686"/>
      <c r="N91" s="686"/>
      <c r="O91" s="686"/>
      <c r="P91" s="686"/>
      <c r="Q91" s="686"/>
      <c r="R91" s="686"/>
      <c r="S91" s="686"/>
      <c r="T91" s="686"/>
      <c r="U91" s="686"/>
      <c r="V91" s="686"/>
      <c r="W91" s="686"/>
      <c r="X91" s="686"/>
      <c r="Y91" s="686"/>
      <c r="Z91" s="686"/>
      <c r="AA91" s="686"/>
      <c r="AB91" s="687"/>
    </row>
    <row r="92" spans="3:28">
      <c r="C92" s="685"/>
      <c r="D92" s="686"/>
      <c r="E92" s="686"/>
      <c r="F92" s="686"/>
      <c r="G92" s="686"/>
      <c r="H92" s="686"/>
      <c r="I92" s="686"/>
      <c r="J92" s="686"/>
      <c r="K92" s="686"/>
      <c r="L92" s="686"/>
      <c r="M92" s="686"/>
      <c r="N92" s="686"/>
      <c r="O92" s="686"/>
      <c r="P92" s="686"/>
      <c r="Q92" s="686"/>
      <c r="R92" s="686"/>
      <c r="S92" s="686"/>
      <c r="T92" s="686"/>
      <c r="U92" s="686"/>
      <c r="V92" s="686"/>
      <c r="W92" s="686"/>
      <c r="X92" s="686"/>
      <c r="Y92" s="686"/>
      <c r="Z92" s="686"/>
      <c r="AA92" s="686"/>
      <c r="AB92" s="687"/>
    </row>
    <row r="93" spans="3:28">
      <c r="C93" s="685"/>
      <c r="D93" s="686"/>
      <c r="E93" s="686"/>
      <c r="F93" s="686"/>
      <c r="G93" s="686"/>
      <c r="H93" s="686"/>
      <c r="I93" s="686"/>
      <c r="J93" s="686"/>
      <c r="K93" s="686"/>
      <c r="L93" s="686"/>
      <c r="M93" s="686"/>
      <c r="N93" s="686"/>
      <c r="O93" s="686"/>
      <c r="P93" s="686"/>
      <c r="Q93" s="686"/>
      <c r="R93" s="686"/>
      <c r="S93" s="686"/>
      <c r="T93" s="686"/>
      <c r="U93" s="686"/>
      <c r="V93" s="686"/>
      <c r="W93" s="686"/>
      <c r="X93" s="686"/>
      <c r="Y93" s="686"/>
      <c r="Z93" s="686"/>
      <c r="AA93" s="686"/>
      <c r="AB93" s="687"/>
    </row>
    <row r="94" spans="3:28">
      <c r="C94" s="685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86"/>
      <c r="AB94" s="687"/>
    </row>
    <row r="95" spans="3:28">
      <c r="C95" s="685"/>
      <c r="D95" s="686"/>
      <c r="E95" s="686"/>
      <c r="F95" s="686"/>
      <c r="G95" s="686"/>
      <c r="H95" s="686"/>
      <c r="I95" s="686"/>
      <c r="J95" s="686"/>
      <c r="K95" s="686"/>
      <c r="L95" s="686"/>
      <c r="M95" s="686"/>
      <c r="N95" s="686"/>
      <c r="O95" s="686"/>
      <c r="P95" s="686"/>
      <c r="Q95" s="686"/>
      <c r="R95" s="686"/>
      <c r="S95" s="686"/>
      <c r="T95" s="686"/>
      <c r="U95" s="686"/>
      <c r="V95" s="686"/>
      <c r="W95" s="686"/>
      <c r="X95" s="686"/>
      <c r="Y95" s="686"/>
      <c r="Z95" s="686"/>
      <c r="AA95" s="686"/>
      <c r="AB95" s="687"/>
    </row>
    <row r="96" spans="3:28">
      <c r="C96" s="685"/>
      <c r="D96" s="686"/>
      <c r="E96" s="686"/>
      <c r="F96" s="686"/>
      <c r="G96" s="686"/>
      <c r="H96" s="686"/>
      <c r="I96" s="686"/>
      <c r="J96" s="686"/>
      <c r="K96" s="686"/>
      <c r="L96" s="686"/>
      <c r="M96" s="686"/>
      <c r="N96" s="686"/>
      <c r="O96" s="686"/>
      <c r="P96" s="686"/>
      <c r="Q96" s="686"/>
      <c r="R96" s="686"/>
      <c r="S96" s="686"/>
      <c r="T96" s="686"/>
      <c r="U96" s="686"/>
      <c r="V96" s="686"/>
      <c r="W96" s="686"/>
      <c r="X96" s="686"/>
      <c r="Y96" s="686"/>
      <c r="Z96" s="686"/>
      <c r="AA96" s="686"/>
      <c r="AB96" s="687"/>
    </row>
    <row r="97" spans="3:28">
      <c r="C97" s="685"/>
      <c r="D97" s="686"/>
      <c r="E97" s="686"/>
      <c r="F97" s="686"/>
      <c r="G97" s="686"/>
      <c r="H97" s="686"/>
      <c r="I97" s="686"/>
      <c r="J97" s="686"/>
      <c r="K97" s="686"/>
      <c r="L97" s="686"/>
      <c r="M97" s="686"/>
      <c r="N97" s="686"/>
      <c r="O97" s="686"/>
      <c r="P97" s="686"/>
      <c r="Q97" s="686"/>
      <c r="R97" s="686"/>
      <c r="S97" s="686"/>
      <c r="T97" s="686"/>
      <c r="U97" s="686"/>
      <c r="V97" s="686"/>
      <c r="W97" s="686"/>
      <c r="X97" s="686"/>
      <c r="Y97" s="686"/>
      <c r="Z97" s="686"/>
      <c r="AA97" s="686"/>
      <c r="AB97" s="687"/>
    </row>
    <row r="98" spans="3:28">
      <c r="C98" s="685"/>
      <c r="D98" s="686"/>
      <c r="E98" s="686"/>
      <c r="F98" s="686"/>
      <c r="G98" s="686"/>
      <c r="H98" s="686"/>
      <c r="I98" s="686"/>
      <c r="J98" s="686"/>
      <c r="K98" s="686"/>
      <c r="L98" s="686"/>
      <c r="M98" s="686"/>
      <c r="N98" s="686"/>
      <c r="O98" s="686"/>
      <c r="P98" s="686"/>
      <c r="Q98" s="686"/>
      <c r="R98" s="686"/>
      <c r="S98" s="686"/>
      <c r="T98" s="686"/>
      <c r="U98" s="686"/>
      <c r="V98" s="686"/>
      <c r="W98" s="686"/>
      <c r="X98" s="686"/>
      <c r="Y98" s="686"/>
      <c r="Z98" s="686"/>
      <c r="AA98" s="686"/>
      <c r="AB98" s="687"/>
    </row>
    <row r="99" spans="3:28">
      <c r="C99" s="685"/>
      <c r="D99" s="686"/>
      <c r="E99" s="686"/>
      <c r="F99" s="686"/>
      <c r="G99" s="686"/>
      <c r="H99" s="686"/>
      <c r="I99" s="686"/>
      <c r="J99" s="686"/>
      <c r="K99" s="686"/>
      <c r="L99" s="686"/>
      <c r="M99" s="686"/>
      <c r="N99" s="686"/>
      <c r="O99" s="686"/>
      <c r="P99" s="686"/>
      <c r="Q99" s="686"/>
      <c r="R99" s="686"/>
      <c r="S99" s="686"/>
      <c r="T99" s="686"/>
      <c r="U99" s="686"/>
      <c r="V99" s="686"/>
      <c r="W99" s="686"/>
      <c r="X99" s="686"/>
      <c r="Y99" s="686"/>
      <c r="Z99" s="686"/>
      <c r="AA99" s="686"/>
      <c r="AB99" s="687"/>
    </row>
    <row r="100" spans="3:28">
      <c r="C100" s="685"/>
      <c r="D100" s="686"/>
      <c r="E100" s="686"/>
      <c r="F100" s="686"/>
      <c r="G100" s="686"/>
      <c r="H100" s="686"/>
      <c r="I100" s="686"/>
      <c r="J100" s="686"/>
      <c r="K100" s="686"/>
      <c r="L100" s="686"/>
      <c r="M100" s="686"/>
      <c r="N100" s="686"/>
      <c r="O100" s="686"/>
      <c r="P100" s="686"/>
      <c r="Q100" s="686"/>
      <c r="R100" s="686"/>
      <c r="S100" s="686"/>
      <c r="T100" s="686"/>
      <c r="U100" s="686"/>
      <c r="V100" s="686"/>
      <c r="W100" s="686"/>
      <c r="X100" s="686"/>
      <c r="Y100" s="686"/>
      <c r="Z100" s="686"/>
      <c r="AA100" s="686"/>
      <c r="AB100" s="687"/>
    </row>
    <row r="101" spans="3:28">
      <c r="C101" s="685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86"/>
      <c r="AB101" s="687"/>
    </row>
    <row r="102" spans="3:28">
      <c r="C102" s="685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86"/>
      <c r="AB102" s="687"/>
    </row>
    <row r="103" spans="3:28">
      <c r="C103" s="685"/>
      <c r="D103" s="686"/>
      <c r="E103" s="686"/>
      <c r="F103" s="686"/>
      <c r="G103" s="686"/>
      <c r="H103" s="686"/>
      <c r="I103" s="686"/>
      <c r="J103" s="686"/>
      <c r="K103" s="686"/>
      <c r="L103" s="686"/>
      <c r="M103" s="686"/>
      <c r="N103" s="686"/>
      <c r="O103" s="686"/>
      <c r="P103" s="686"/>
      <c r="Q103" s="686"/>
      <c r="R103" s="686"/>
      <c r="S103" s="686"/>
      <c r="T103" s="686"/>
      <c r="U103" s="686"/>
      <c r="V103" s="686"/>
      <c r="W103" s="686"/>
      <c r="X103" s="686"/>
      <c r="Y103" s="686"/>
      <c r="Z103" s="686"/>
      <c r="AA103" s="686"/>
      <c r="AB103" s="687"/>
    </row>
    <row r="104" spans="3:28">
      <c r="C104" s="685"/>
      <c r="D104" s="686"/>
      <c r="E104" s="686"/>
      <c r="F104" s="686"/>
      <c r="G104" s="686"/>
      <c r="H104" s="686"/>
      <c r="I104" s="686"/>
      <c r="J104" s="686"/>
      <c r="K104" s="686"/>
      <c r="L104" s="686"/>
      <c r="M104" s="686"/>
      <c r="N104" s="686"/>
      <c r="O104" s="686"/>
      <c r="P104" s="686"/>
      <c r="Q104" s="686"/>
      <c r="R104" s="686"/>
      <c r="S104" s="686"/>
      <c r="T104" s="686"/>
      <c r="U104" s="686"/>
      <c r="V104" s="686"/>
      <c r="W104" s="686"/>
      <c r="X104" s="686"/>
      <c r="Y104" s="686"/>
      <c r="Z104" s="686"/>
      <c r="AA104" s="686"/>
      <c r="AB104" s="687"/>
    </row>
    <row r="105" spans="3:28">
      <c r="C105" s="685"/>
      <c r="D105" s="686"/>
      <c r="E105" s="686"/>
      <c r="F105" s="686"/>
      <c r="G105" s="686"/>
      <c r="H105" s="686"/>
      <c r="I105" s="686"/>
      <c r="J105" s="686"/>
      <c r="K105" s="686"/>
      <c r="L105" s="686"/>
      <c r="M105" s="686"/>
      <c r="N105" s="686"/>
      <c r="O105" s="686"/>
      <c r="P105" s="686"/>
      <c r="Q105" s="686"/>
      <c r="R105" s="686"/>
      <c r="S105" s="686"/>
      <c r="T105" s="686"/>
      <c r="U105" s="686"/>
      <c r="V105" s="686"/>
      <c r="W105" s="686"/>
      <c r="X105" s="686"/>
      <c r="Y105" s="686"/>
      <c r="Z105" s="686"/>
      <c r="AA105" s="686"/>
      <c r="AB105" s="687"/>
    </row>
    <row r="106" spans="3:28">
      <c r="C106" s="685"/>
      <c r="D106" s="686"/>
      <c r="E106" s="686"/>
      <c r="F106" s="686"/>
      <c r="G106" s="686"/>
      <c r="H106" s="686"/>
      <c r="I106" s="686"/>
      <c r="J106" s="686"/>
      <c r="K106" s="686"/>
      <c r="L106" s="686"/>
      <c r="M106" s="686"/>
      <c r="N106" s="686"/>
      <c r="O106" s="686"/>
      <c r="P106" s="686"/>
      <c r="Q106" s="686"/>
      <c r="R106" s="686"/>
      <c r="S106" s="686"/>
      <c r="T106" s="686"/>
      <c r="U106" s="686"/>
      <c r="V106" s="686"/>
      <c r="W106" s="686"/>
      <c r="X106" s="686"/>
      <c r="Y106" s="686"/>
      <c r="Z106" s="686"/>
      <c r="AA106" s="686"/>
      <c r="AB106" s="687"/>
    </row>
    <row r="107" spans="3:28">
      <c r="C107" s="685"/>
      <c r="D107" s="686"/>
      <c r="E107" s="686"/>
      <c r="F107" s="686"/>
      <c r="G107" s="686"/>
      <c r="H107" s="686"/>
      <c r="I107" s="686"/>
      <c r="J107" s="686"/>
      <c r="K107" s="686"/>
      <c r="L107" s="686"/>
      <c r="M107" s="686"/>
      <c r="N107" s="686"/>
      <c r="O107" s="686"/>
      <c r="P107" s="686"/>
      <c r="Q107" s="686"/>
      <c r="R107" s="686"/>
      <c r="S107" s="686"/>
      <c r="T107" s="686"/>
      <c r="U107" s="686"/>
      <c r="V107" s="686"/>
      <c r="W107" s="686"/>
      <c r="X107" s="686"/>
      <c r="Y107" s="686"/>
      <c r="Z107" s="686"/>
      <c r="AA107" s="686"/>
      <c r="AB107" s="687"/>
    </row>
    <row r="108" spans="3:28">
      <c r="C108" s="685"/>
      <c r="D108" s="686"/>
      <c r="E108" s="686"/>
      <c r="F108" s="686"/>
      <c r="G108" s="686"/>
      <c r="H108" s="686"/>
      <c r="I108" s="686"/>
      <c r="J108" s="686"/>
      <c r="K108" s="686"/>
      <c r="L108" s="686"/>
      <c r="M108" s="686"/>
      <c r="N108" s="686"/>
      <c r="O108" s="686"/>
      <c r="P108" s="686"/>
      <c r="Q108" s="686"/>
      <c r="R108" s="686"/>
      <c r="S108" s="686"/>
      <c r="T108" s="686"/>
      <c r="U108" s="686"/>
      <c r="V108" s="686"/>
      <c r="W108" s="686"/>
      <c r="X108" s="686"/>
      <c r="Y108" s="686"/>
      <c r="Z108" s="686"/>
      <c r="AA108" s="686"/>
      <c r="AB108" s="687"/>
    </row>
    <row r="109" spans="3:28">
      <c r="C109" s="685"/>
      <c r="D109" s="686"/>
      <c r="E109" s="686"/>
      <c r="F109" s="686"/>
      <c r="G109" s="686"/>
      <c r="H109" s="686"/>
      <c r="I109" s="686"/>
      <c r="J109" s="686"/>
      <c r="K109" s="686"/>
      <c r="L109" s="686"/>
      <c r="M109" s="686"/>
      <c r="N109" s="686"/>
      <c r="O109" s="686"/>
      <c r="P109" s="686"/>
      <c r="Q109" s="686"/>
      <c r="R109" s="686"/>
      <c r="S109" s="686"/>
      <c r="T109" s="686"/>
      <c r="U109" s="686"/>
      <c r="V109" s="686"/>
      <c r="W109" s="686"/>
      <c r="X109" s="686"/>
      <c r="Y109" s="686"/>
      <c r="Z109" s="686"/>
      <c r="AA109" s="686"/>
      <c r="AB109" s="687"/>
    </row>
    <row r="110" spans="3:28">
      <c r="C110" s="685"/>
      <c r="D110" s="686"/>
      <c r="E110" s="686"/>
      <c r="F110" s="686"/>
      <c r="G110" s="686"/>
      <c r="H110" s="686"/>
      <c r="I110" s="686"/>
      <c r="J110" s="686"/>
      <c r="K110" s="686"/>
      <c r="L110" s="686"/>
      <c r="M110" s="686"/>
      <c r="N110" s="686"/>
      <c r="O110" s="686"/>
      <c r="P110" s="686"/>
      <c r="Q110" s="686"/>
      <c r="R110" s="686"/>
      <c r="S110" s="686"/>
      <c r="T110" s="686"/>
      <c r="U110" s="686"/>
      <c r="V110" s="686"/>
      <c r="W110" s="686"/>
      <c r="X110" s="686"/>
      <c r="Y110" s="686"/>
      <c r="Z110" s="686"/>
      <c r="AA110" s="686"/>
      <c r="AB110" s="687"/>
    </row>
    <row r="111" spans="3:28">
      <c r="C111" s="685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86"/>
      <c r="AB111" s="687"/>
    </row>
    <row r="112" spans="3:28">
      <c r="C112" s="685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86"/>
      <c r="AB112" s="687"/>
    </row>
    <row r="113" spans="3:28">
      <c r="C113" s="685"/>
      <c r="D113" s="686"/>
      <c r="E113" s="686"/>
      <c r="F113" s="686"/>
      <c r="G113" s="686"/>
      <c r="H113" s="686"/>
      <c r="I113" s="686"/>
      <c r="J113" s="686"/>
      <c r="K113" s="686"/>
      <c r="L113" s="686"/>
      <c r="M113" s="686"/>
      <c r="N113" s="686"/>
      <c r="O113" s="686"/>
      <c r="P113" s="686"/>
      <c r="Q113" s="686"/>
      <c r="R113" s="686"/>
      <c r="S113" s="686"/>
      <c r="T113" s="686"/>
      <c r="U113" s="686"/>
      <c r="V113" s="686"/>
      <c r="W113" s="686"/>
      <c r="X113" s="686"/>
      <c r="Y113" s="686"/>
      <c r="Z113" s="686"/>
      <c r="AA113" s="686"/>
      <c r="AB113" s="687"/>
    </row>
    <row r="114" spans="3:28">
      <c r="C114" s="685"/>
      <c r="D114" s="686"/>
      <c r="E114" s="686"/>
      <c r="F114" s="686"/>
      <c r="G114" s="686"/>
      <c r="H114" s="686"/>
      <c r="I114" s="686"/>
      <c r="J114" s="686"/>
      <c r="K114" s="686"/>
      <c r="L114" s="686"/>
      <c r="M114" s="686"/>
      <c r="N114" s="686"/>
      <c r="O114" s="686"/>
      <c r="P114" s="686"/>
      <c r="Q114" s="686"/>
      <c r="R114" s="686"/>
      <c r="S114" s="686"/>
      <c r="T114" s="686"/>
      <c r="U114" s="686"/>
      <c r="V114" s="686"/>
      <c r="W114" s="686"/>
      <c r="X114" s="686"/>
      <c r="Y114" s="686"/>
      <c r="Z114" s="686"/>
      <c r="AA114" s="686"/>
      <c r="AB114" s="687"/>
    </row>
    <row r="115" spans="3:28">
      <c r="C115" s="685"/>
      <c r="D115" s="686"/>
      <c r="E115" s="686"/>
      <c r="F115" s="686"/>
      <c r="G115" s="686"/>
      <c r="H115" s="686"/>
      <c r="I115" s="686"/>
      <c r="J115" s="686"/>
      <c r="K115" s="686"/>
      <c r="L115" s="686"/>
      <c r="M115" s="686"/>
      <c r="N115" s="686"/>
      <c r="O115" s="686"/>
      <c r="P115" s="686"/>
      <c r="Q115" s="686"/>
      <c r="R115" s="686"/>
      <c r="S115" s="686"/>
      <c r="T115" s="686"/>
      <c r="U115" s="686"/>
      <c r="V115" s="686"/>
      <c r="W115" s="686"/>
      <c r="X115" s="686"/>
      <c r="Y115" s="686"/>
      <c r="Z115" s="686"/>
      <c r="AA115" s="686"/>
      <c r="AB115" s="687"/>
    </row>
    <row r="116" spans="3:28">
      <c r="C116" s="685"/>
      <c r="D116" s="686"/>
      <c r="E116" s="686"/>
      <c r="F116" s="686"/>
      <c r="G116" s="686"/>
      <c r="H116" s="686"/>
      <c r="I116" s="686"/>
      <c r="J116" s="686"/>
      <c r="K116" s="686"/>
      <c r="L116" s="686"/>
      <c r="M116" s="686"/>
      <c r="N116" s="686"/>
      <c r="O116" s="686"/>
      <c r="P116" s="686"/>
      <c r="Q116" s="686"/>
      <c r="R116" s="686"/>
      <c r="S116" s="686"/>
      <c r="T116" s="686"/>
      <c r="U116" s="686"/>
      <c r="V116" s="686"/>
      <c r="W116" s="686"/>
      <c r="X116" s="686"/>
      <c r="Y116" s="686"/>
      <c r="Z116" s="686"/>
      <c r="AA116" s="686"/>
      <c r="AB116" s="687"/>
    </row>
    <row r="117" spans="3:28">
      <c r="C117" s="685"/>
      <c r="D117" s="686"/>
      <c r="E117" s="686"/>
      <c r="F117" s="686"/>
      <c r="G117" s="686"/>
      <c r="H117" s="686"/>
      <c r="I117" s="686"/>
      <c r="J117" s="686"/>
      <c r="K117" s="686"/>
      <c r="L117" s="686"/>
      <c r="M117" s="686"/>
      <c r="N117" s="686"/>
      <c r="O117" s="686"/>
      <c r="P117" s="686"/>
      <c r="Q117" s="686"/>
      <c r="R117" s="686"/>
      <c r="S117" s="686"/>
      <c r="T117" s="686"/>
      <c r="U117" s="686"/>
      <c r="V117" s="686"/>
      <c r="W117" s="686"/>
      <c r="X117" s="686"/>
      <c r="Y117" s="686"/>
      <c r="Z117" s="686"/>
      <c r="AA117" s="686"/>
      <c r="AB117" s="687"/>
    </row>
    <row r="118" spans="3:28">
      <c r="C118" s="685"/>
      <c r="D118" s="686"/>
      <c r="E118" s="686"/>
      <c r="F118" s="686"/>
      <c r="G118" s="686"/>
      <c r="H118" s="686"/>
      <c r="I118" s="686"/>
      <c r="J118" s="686"/>
      <c r="K118" s="686"/>
      <c r="L118" s="686"/>
      <c r="M118" s="686"/>
      <c r="N118" s="686"/>
      <c r="O118" s="686"/>
      <c r="P118" s="686"/>
      <c r="Q118" s="686"/>
      <c r="R118" s="686"/>
      <c r="S118" s="686"/>
      <c r="T118" s="686"/>
      <c r="U118" s="686"/>
      <c r="V118" s="686"/>
      <c r="W118" s="686"/>
      <c r="X118" s="686"/>
      <c r="Y118" s="686"/>
      <c r="Z118" s="686"/>
      <c r="AA118" s="686"/>
      <c r="AB118" s="687"/>
    </row>
    <row r="119" spans="3:28">
      <c r="C119" s="685"/>
      <c r="D119" s="686"/>
      <c r="E119" s="686"/>
      <c r="F119" s="686"/>
      <c r="G119" s="686"/>
      <c r="H119" s="686"/>
      <c r="I119" s="686"/>
      <c r="J119" s="686"/>
      <c r="K119" s="686"/>
      <c r="L119" s="686"/>
      <c r="M119" s="686"/>
      <c r="N119" s="686"/>
      <c r="O119" s="686"/>
      <c r="P119" s="686"/>
      <c r="Q119" s="686"/>
      <c r="R119" s="686"/>
      <c r="S119" s="686"/>
      <c r="T119" s="686"/>
      <c r="U119" s="686"/>
      <c r="V119" s="686"/>
      <c r="W119" s="686"/>
      <c r="X119" s="686"/>
      <c r="Y119" s="686"/>
      <c r="Z119" s="686"/>
      <c r="AA119" s="686"/>
      <c r="AB119" s="687"/>
    </row>
    <row r="120" spans="3:28">
      <c r="C120" s="685"/>
      <c r="D120" s="686"/>
      <c r="E120" s="686"/>
      <c r="F120" s="686"/>
      <c r="G120" s="686"/>
      <c r="H120" s="686"/>
      <c r="I120" s="686"/>
      <c r="J120" s="686"/>
      <c r="K120" s="686"/>
      <c r="L120" s="686"/>
      <c r="M120" s="686"/>
      <c r="N120" s="686"/>
      <c r="O120" s="686"/>
      <c r="P120" s="686"/>
      <c r="Q120" s="686"/>
      <c r="R120" s="686"/>
      <c r="S120" s="686"/>
      <c r="T120" s="686"/>
      <c r="U120" s="686"/>
      <c r="V120" s="686"/>
      <c r="W120" s="686"/>
      <c r="X120" s="686"/>
      <c r="Y120" s="686"/>
      <c r="Z120" s="686"/>
      <c r="AA120" s="686"/>
      <c r="AB120" s="687"/>
    </row>
    <row r="121" spans="3:28">
      <c r="C121" s="685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86"/>
      <c r="AB121" s="687"/>
    </row>
    <row r="122" spans="3:28">
      <c r="C122" s="685"/>
      <c r="D122" s="686"/>
      <c r="E122" s="686"/>
      <c r="F122" s="686"/>
      <c r="G122" s="686"/>
      <c r="H122" s="686"/>
      <c r="I122" s="686"/>
      <c r="J122" s="686"/>
      <c r="K122" s="686"/>
      <c r="L122" s="686"/>
      <c r="M122" s="686"/>
      <c r="N122" s="686"/>
      <c r="O122" s="686"/>
      <c r="P122" s="686"/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86"/>
      <c r="AB122" s="687"/>
    </row>
    <row r="123" spans="3:28">
      <c r="C123" s="685"/>
      <c r="D123" s="686"/>
      <c r="E123" s="686"/>
      <c r="F123" s="686"/>
      <c r="G123" s="686"/>
      <c r="H123" s="686"/>
      <c r="I123" s="686"/>
      <c r="J123" s="686"/>
      <c r="K123" s="686"/>
      <c r="L123" s="686"/>
      <c r="M123" s="686"/>
      <c r="N123" s="686"/>
      <c r="O123" s="686"/>
      <c r="P123" s="686"/>
      <c r="Q123" s="686"/>
      <c r="R123" s="686"/>
      <c r="S123" s="686"/>
      <c r="T123" s="686"/>
      <c r="U123" s="686"/>
      <c r="V123" s="686"/>
      <c r="W123" s="686"/>
      <c r="X123" s="686"/>
      <c r="Y123" s="686"/>
      <c r="Z123" s="686"/>
      <c r="AA123" s="686"/>
      <c r="AB123" s="687"/>
    </row>
    <row r="124" spans="3:28">
      <c r="C124" s="685"/>
      <c r="D124" s="686"/>
      <c r="E124" s="686"/>
      <c r="F124" s="686"/>
      <c r="G124" s="686"/>
      <c r="H124" s="686"/>
      <c r="I124" s="686"/>
      <c r="J124" s="686"/>
      <c r="K124" s="686"/>
      <c r="L124" s="686"/>
      <c r="M124" s="686"/>
      <c r="N124" s="686"/>
      <c r="O124" s="686"/>
      <c r="P124" s="686"/>
      <c r="Q124" s="686"/>
      <c r="R124" s="686"/>
      <c r="S124" s="686"/>
      <c r="T124" s="686"/>
      <c r="U124" s="686"/>
      <c r="V124" s="686"/>
      <c r="W124" s="686"/>
      <c r="X124" s="686"/>
      <c r="Y124" s="686"/>
      <c r="Z124" s="686"/>
      <c r="AA124" s="686"/>
      <c r="AB124" s="687"/>
    </row>
    <row r="125" spans="3:28">
      <c r="C125" s="685"/>
      <c r="D125" s="686"/>
      <c r="E125" s="686"/>
      <c r="F125" s="686"/>
      <c r="G125" s="686"/>
      <c r="H125" s="686"/>
      <c r="I125" s="686"/>
      <c r="J125" s="686"/>
      <c r="K125" s="686"/>
      <c r="L125" s="686"/>
      <c r="M125" s="686"/>
      <c r="N125" s="686"/>
      <c r="O125" s="686"/>
      <c r="P125" s="686"/>
      <c r="Q125" s="686"/>
      <c r="R125" s="686"/>
      <c r="S125" s="686"/>
      <c r="T125" s="686"/>
      <c r="U125" s="686"/>
      <c r="V125" s="686"/>
      <c r="W125" s="686"/>
      <c r="X125" s="686"/>
      <c r="Y125" s="686"/>
      <c r="Z125" s="686"/>
      <c r="AA125" s="686"/>
      <c r="AB125" s="687"/>
    </row>
    <row r="126" spans="3:28">
      <c r="C126" s="685"/>
      <c r="D126" s="686"/>
      <c r="E126" s="686"/>
      <c r="F126" s="686"/>
      <c r="G126" s="686"/>
      <c r="H126" s="686"/>
      <c r="I126" s="686"/>
      <c r="J126" s="686"/>
      <c r="K126" s="686"/>
      <c r="L126" s="686"/>
      <c r="M126" s="686"/>
      <c r="N126" s="686"/>
      <c r="O126" s="686"/>
      <c r="P126" s="686"/>
      <c r="Q126" s="686"/>
      <c r="R126" s="686"/>
      <c r="S126" s="686"/>
      <c r="T126" s="686"/>
      <c r="U126" s="686"/>
      <c r="V126" s="686"/>
      <c r="W126" s="686"/>
      <c r="X126" s="686"/>
      <c r="Y126" s="686"/>
      <c r="Z126" s="686"/>
      <c r="AA126" s="686"/>
      <c r="AB126" s="687"/>
    </row>
    <row r="127" spans="3:28">
      <c r="C127" s="685"/>
      <c r="D127" s="686"/>
      <c r="E127" s="686"/>
      <c r="F127" s="686"/>
      <c r="G127" s="686"/>
      <c r="H127" s="686"/>
      <c r="I127" s="686"/>
      <c r="J127" s="686"/>
      <c r="K127" s="686"/>
      <c r="L127" s="686"/>
      <c r="M127" s="686"/>
      <c r="N127" s="686"/>
      <c r="O127" s="686"/>
      <c r="P127" s="686"/>
      <c r="Q127" s="686"/>
      <c r="R127" s="686"/>
      <c r="S127" s="686"/>
      <c r="T127" s="686"/>
      <c r="U127" s="686"/>
      <c r="V127" s="686"/>
      <c r="W127" s="686"/>
      <c r="X127" s="686"/>
      <c r="Y127" s="686"/>
      <c r="Z127" s="686"/>
      <c r="AA127" s="686"/>
      <c r="AB127" s="687"/>
    </row>
    <row r="128" spans="3:28">
      <c r="C128" s="685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86"/>
      <c r="AB128" s="687"/>
    </row>
    <row r="129" spans="3:28">
      <c r="C129" s="685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86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86"/>
      <c r="AB129" s="687"/>
    </row>
    <row r="130" spans="3:28">
      <c r="C130" s="685"/>
      <c r="D130" s="686"/>
      <c r="E130" s="686"/>
      <c r="F130" s="686"/>
      <c r="G130" s="686"/>
      <c r="H130" s="686"/>
      <c r="I130" s="686"/>
      <c r="J130" s="686"/>
      <c r="K130" s="686"/>
      <c r="L130" s="686"/>
      <c r="M130" s="686"/>
      <c r="N130" s="686"/>
      <c r="O130" s="686"/>
      <c r="P130" s="686"/>
      <c r="Q130" s="686"/>
      <c r="R130" s="686"/>
      <c r="S130" s="686"/>
      <c r="T130" s="686"/>
      <c r="U130" s="686"/>
      <c r="V130" s="686"/>
      <c r="W130" s="686"/>
      <c r="X130" s="686"/>
      <c r="Y130" s="686"/>
      <c r="Z130" s="686"/>
      <c r="AA130" s="686"/>
      <c r="AB130" s="687"/>
    </row>
    <row r="131" spans="3:28">
      <c r="C131" s="685"/>
      <c r="D131" s="686"/>
      <c r="E131" s="686"/>
      <c r="F131" s="686"/>
      <c r="G131" s="686"/>
      <c r="H131" s="686"/>
      <c r="I131" s="686"/>
      <c r="J131" s="686"/>
      <c r="K131" s="686"/>
      <c r="L131" s="686"/>
      <c r="M131" s="686"/>
      <c r="N131" s="686"/>
      <c r="O131" s="686"/>
      <c r="P131" s="686"/>
      <c r="Q131" s="686"/>
      <c r="R131" s="686"/>
      <c r="S131" s="686"/>
      <c r="T131" s="686"/>
      <c r="U131" s="686"/>
      <c r="V131" s="686"/>
      <c r="W131" s="686"/>
      <c r="X131" s="686"/>
      <c r="Y131" s="686"/>
      <c r="Z131" s="686"/>
      <c r="AA131" s="686"/>
      <c r="AB131" s="687"/>
    </row>
    <row r="132" spans="3:28">
      <c r="C132" s="685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86"/>
      <c r="AB132" s="687"/>
    </row>
    <row r="133" spans="3:28">
      <c r="C133" s="685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86"/>
      <c r="AB133" s="687"/>
    </row>
    <row r="134" spans="3:28">
      <c r="C134" s="685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86"/>
      <c r="AB134" s="687"/>
    </row>
    <row r="135" spans="3:28">
      <c r="C135" s="685"/>
      <c r="D135" s="686"/>
      <c r="E135" s="686"/>
      <c r="F135" s="686"/>
      <c r="G135" s="686"/>
      <c r="H135" s="686"/>
      <c r="I135" s="686"/>
      <c r="J135" s="686"/>
      <c r="K135" s="686"/>
      <c r="L135" s="686"/>
      <c r="M135" s="686"/>
      <c r="N135" s="686"/>
      <c r="O135" s="686"/>
      <c r="P135" s="686"/>
      <c r="Q135" s="686"/>
      <c r="R135" s="686"/>
      <c r="S135" s="686"/>
      <c r="T135" s="686"/>
      <c r="U135" s="686"/>
      <c r="V135" s="686"/>
      <c r="W135" s="686"/>
      <c r="X135" s="686"/>
      <c r="Y135" s="686"/>
      <c r="Z135" s="686"/>
      <c r="AA135" s="686"/>
      <c r="AB135" s="687"/>
    </row>
    <row r="136" spans="3:28">
      <c r="C136" s="685"/>
      <c r="D136" s="686"/>
      <c r="E136" s="686"/>
      <c r="F136" s="686"/>
      <c r="G136" s="686"/>
      <c r="H136" s="686"/>
      <c r="I136" s="686"/>
      <c r="J136" s="686"/>
      <c r="K136" s="686"/>
      <c r="L136" s="686"/>
      <c r="M136" s="686"/>
      <c r="N136" s="686"/>
      <c r="O136" s="686"/>
      <c r="P136" s="686"/>
      <c r="Q136" s="686"/>
      <c r="R136" s="686"/>
      <c r="S136" s="686"/>
      <c r="T136" s="686"/>
      <c r="U136" s="686"/>
      <c r="V136" s="686"/>
      <c r="W136" s="686"/>
      <c r="X136" s="686"/>
      <c r="Y136" s="686"/>
      <c r="Z136" s="686"/>
      <c r="AA136" s="686"/>
      <c r="AB136" s="687"/>
    </row>
    <row r="137" spans="3:28">
      <c r="C137" s="685"/>
      <c r="D137" s="686"/>
      <c r="E137" s="686"/>
      <c r="F137" s="686"/>
      <c r="G137" s="686"/>
      <c r="H137" s="686"/>
      <c r="I137" s="686"/>
      <c r="J137" s="686"/>
      <c r="K137" s="686"/>
      <c r="L137" s="686"/>
      <c r="M137" s="686"/>
      <c r="N137" s="686"/>
      <c r="O137" s="686"/>
      <c r="P137" s="686"/>
      <c r="Q137" s="686"/>
      <c r="R137" s="686"/>
      <c r="S137" s="686"/>
      <c r="T137" s="686"/>
      <c r="U137" s="686"/>
      <c r="V137" s="686"/>
      <c r="W137" s="686"/>
      <c r="X137" s="686"/>
      <c r="Y137" s="686"/>
      <c r="Z137" s="686"/>
      <c r="AA137" s="686"/>
      <c r="AB137" s="687"/>
    </row>
    <row r="138" spans="3:28">
      <c r="C138" s="685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86"/>
      <c r="AB138" s="687"/>
    </row>
    <row r="139" spans="3:28">
      <c r="C139" s="685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86"/>
      <c r="AB139" s="687"/>
    </row>
    <row r="140" spans="3:28">
      <c r="C140" s="685"/>
      <c r="D140" s="686"/>
      <c r="E140" s="686"/>
      <c r="F140" s="686"/>
      <c r="G140" s="686"/>
      <c r="H140" s="686"/>
      <c r="I140" s="686"/>
      <c r="J140" s="686"/>
      <c r="K140" s="686"/>
      <c r="L140" s="686"/>
      <c r="M140" s="686"/>
      <c r="N140" s="686"/>
      <c r="O140" s="686"/>
      <c r="P140" s="686"/>
      <c r="Q140" s="686"/>
      <c r="R140" s="686"/>
      <c r="S140" s="686"/>
      <c r="T140" s="686"/>
      <c r="U140" s="686"/>
      <c r="V140" s="686"/>
      <c r="W140" s="686"/>
      <c r="X140" s="686"/>
      <c r="Y140" s="686"/>
      <c r="Z140" s="686"/>
      <c r="AA140" s="686"/>
      <c r="AB140" s="687"/>
    </row>
    <row r="141" spans="3:28">
      <c r="C141" s="685"/>
      <c r="D141" s="686"/>
      <c r="E141" s="686"/>
      <c r="F141" s="686"/>
      <c r="G141" s="686"/>
      <c r="H141" s="686"/>
      <c r="I141" s="686"/>
      <c r="J141" s="686"/>
      <c r="K141" s="686"/>
      <c r="L141" s="686"/>
      <c r="M141" s="686"/>
      <c r="N141" s="686"/>
      <c r="O141" s="686"/>
      <c r="P141" s="686"/>
      <c r="Q141" s="686"/>
      <c r="R141" s="686"/>
      <c r="S141" s="686"/>
      <c r="T141" s="686"/>
      <c r="U141" s="686"/>
      <c r="V141" s="686"/>
      <c r="W141" s="686"/>
      <c r="X141" s="686"/>
      <c r="Y141" s="686"/>
      <c r="Z141" s="686"/>
      <c r="AA141" s="686"/>
      <c r="AB141" s="687"/>
    </row>
    <row r="142" spans="3:28">
      <c r="C142" s="685"/>
      <c r="D142" s="686"/>
      <c r="E142" s="686"/>
      <c r="F142" s="686"/>
      <c r="G142" s="686"/>
      <c r="H142" s="686"/>
      <c r="I142" s="686"/>
      <c r="J142" s="686"/>
      <c r="K142" s="686"/>
      <c r="L142" s="686"/>
      <c r="M142" s="686"/>
      <c r="N142" s="686"/>
      <c r="O142" s="686"/>
      <c r="P142" s="686"/>
      <c r="Q142" s="686"/>
      <c r="R142" s="686"/>
      <c r="S142" s="686"/>
      <c r="T142" s="686"/>
      <c r="U142" s="686"/>
      <c r="V142" s="686"/>
      <c r="W142" s="686"/>
      <c r="X142" s="686"/>
      <c r="Y142" s="686"/>
      <c r="Z142" s="686"/>
      <c r="AA142" s="686"/>
      <c r="AB142" s="687"/>
    </row>
    <row r="143" spans="3:28">
      <c r="C143" s="685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86"/>
      <c r="AB143" s="687"/>
    </row>
    <row r="144" spans="3:28">
      <c r="C144" s="685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86"/>
      <c r="AB144" s="687"/>
    </row>
    <row r="145" spans="3:28">
      <c r="C145" s="685"/>
      <c r="D145" s="686"/>
      <c r="E145" s="686"/>
      <c r="F145" s="686"/>
      <c r="G145" s="686"/>
      <c r="H145" s="686"/>
      <c r="I145" s="686"/>
      <c r="J145" s="686"/>
      <c r="K145" s="686"/>
      <c r="L145" s="686"/>
      <c r="M145" s="686"/>
      <c r="N145" s="686"/>
      <c r="O145" s="686"/>
      <c r="P145" s="686"/>
      <c r="Q145" s="686"/>
      <c r="R145" s="686"/>
      <c r="S145" s="686"/>
      <c r="T145" s="686"/>
      <c r="U145" s="686"/>
      <c r="V145" s="686"/>
      <c r="W145" s="686"/>
      <c r="X145" s="686"/>
      <c r="Y145" s="686"/>
      <c r="Z145" s="686"/>
      <c r="AA145" s="686"/>
      <c r="AB145" s="687"/>
    </row>
    <row r="146" spans="3:28">
      <c r="C146" s="685"/>
      <c r="D146" s="686"/>
      <c r="E146" s="686"/>
      <c r="F146" s="686"/>
      <c r="G146" s="686"/>
      <c r="H146" s="686"/>
      <c r="I146" s="686"/>
      <c r="J146" s="686"/>
      <c r="K146" s="686"/>
      <c r="L146" s="686"/>
      <c r="M146" s="686"/>
      <c r="N146" s="686"/>
      <c r="O146" s="686"/>
      <c r="P146" s="686"/>
      <c r="Q146" s="686"/>
      <c r="R146" s="686"/>
      <c r="S146" s="686"/>
      <c r="T146" s="686"/>
      <c r="U146" s="686"/>
      <c r="V146" s="686"/>
      <c r="W146" s="686"/>
      <c r="X146" s="686"/>
      <c r="Y146" s="686"/>
      <c r="Z146" s="686"/>
      <c r="AA146" s="686"/>
      <c r="AB146" s="687"/>
    </row>
    <row r="147" spans="3:28">
      <c r="C147" s="685"/>
      <c r="D147" s="686"/>
      <c r="E147" s="686"/>
      <c r="F147" s="686"/>
      <c r="G147" s="686"/>
      <c r="H147" s="686"/>
      <c r="I147" s="686"/>
      <c r="J147" s="686"/>
      <c r="K147" s="686"/>
      <c r="L147" s="686"/>
      <c r="M147" s="686"/>
      <c r="N147" s="686"/>
      <c r="O147" s="686"/>
      <c r="P147" s="686"/>
      <c r="Q147" s="686"/>
      <c r="R147" s="686"/>
      <c r="S147" s="686"/>
      <c r="T147" s="686"/>
      <c r="U147" s="686"/>
      <c r="V147" s="686"/>
      <c r="W147" s="686"/>
      <c r="X147" s="686"/>
      <c r="Y147" s="686"/>
      <c r="Z147" s="686"/>
      <c r="AA147" s="686"/>
      <c r="AB147" s="687"/>
    </row>
    <row r="148" spans="3:28">
      <c r="C148" s="685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86"/>
      <c r="AB148" s="687"/>
    </row>
    <row r="149" spans="3:28">
      <c r="C149" s="688"/>
      <c r="D149" s="689"/>
      <c r="E149" s="689"/>
      <c r="F149" s="689"/>
      <c r="G149" s="689"/>
      <c r="H149" s="689"/>
      <c r="I149" s="689"/>
      <c r="J149" s="689"/>
      <c r="K149" s="689"/>
      <c r="L149" s="689"/>
      <c r="M149" s="689"/>
      <c r="N149" s="689"/>
      <c r="O149" s="689"/>
      <c r="P149" s="689"/>
      <c r="Q149" s="689"/>
      <c r="R149" s="689"/>
      <c r="S149" s="689"/>
      <c r="T149" s="689"/>
      <c r="U149" s="689"/>
      <c r="V149" s="689"/>
      <c r="W149" s="689"/>
      <c r="X149" s="689"/>
      <c r="Y149" s="689"/>
      <c r="Z149" s="689"/>
      <c r="AA149" s="689"/>
      <c r="AB149" s="690"/>
    </row>
  </sheetData>
  <printOptions horizontalCentered="1"/>
  <pageMargins left="0.23622047244094491" right="0.23622047244094491" top="0.23622047244094491" bottom="0.51181102362204722" header="0.23622047244094491" footer="0.23622047244094491"/>
  <pageSetup scale="95" orientation="landscape" blackAndWhite="1" r:id="rId1"/>
  <headerFooter alignWithMargins="0"/>
  <ignoredErrors>
    <ignoredError sqref="AB28:AE28" formula="1"/>
  </ignoredError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B9E5B7EB-755E-4AD7-955F-F1BFB0075257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Summary!H81:O81</xm:f>
              <xm:sqref>F81</xm:sqref>
            </x14:sparkline>
          </x14:sparklines>
        </x14:sparklineGroup>
        <x14:sparklineGroup lineWeight="1" displayEmptyCellsAs="gap" high="1" low="1" xr2:uid="{09903236-6C94-436B-8A0B-65B74EE21884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Summary!H77:O77</xm:f>
              <xm:sqref>F77</xm:sqref>
            </x14:sparkline>
          </x14:sparklines>
        </x14:sparklineGroup>
        <x14:sparklineGroup lineWeight="1" displayEmptyCellsAs="gap" high="1" low="1" xr2:uid="{46D62003-1ED5-45A4-8DB0-883D5EB54D32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Summary!H73:O73</xm:f>
              <xm:sqref>F73</xm:sqref>
            </x14:sparkline>
          </x14:sparklines>
        </x14:sparklineGroup>
        <x14:sparklineGroup lineWeight="1" displayEmptyCellsAs="gap" high="1" low="1" xr2:uid="{00000000-0003-0000-0100-000008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  <x14:sparklineGroup lineWeight="1" displayEmptyCellsAs="gap" high="1" low="1" xr2:uid="{00000000-0003-0000-0100-000007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lineWeight="1" displayEmptyCellsAs="gap" high="1" low="1" xr2:uid="{00000000-0003-0000-0100-000006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lineWeight="1" displayEmptyCellsAs="gap" high="1" low="1" xr2:uid="{00000000-0003-0000-0100-000005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lineWeight="1" displayEmptyCellsAs="gap" high="1" low="1" xr2:uid="{00000000-0003-0000-0100-000004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lineWeight="1" displayEmptyCellsAs="gap" high="1" low="1" xr2:uid="{00000000-0003-0000-0100-000003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lineWeight="1" displayEmptyCellsAs="gap" high="1" low="1" xr2:uid="{00000000-0003-0000-0100-000002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lineWeight="1" displayEmptyCellsAs="gap" high="1" low="1" xr2:uid="{00000000-0003-0000-0100-000001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lineWeight="1" displayEmptyCellsAs="gap" high="1" low="1" xr2:uid="{00000000-0003-0000-0100-000000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Q76"/>
  <sheetViews>
    <sheetView showGridLines="0" topLeftCell="A27" workbookViewId="0">
      <selection activeCell="L58" sqref="L58"/>
    </sheetView>
  </sheetViews>
  <sheetFormatPr baseColWidth="10" defaultColWidth="8.88671875" defaultRowHeight="13.2"/>
  <cols>
    <col min="1" max="1" width="2.5546875" customWidth="1"/>
    <col min="2" max="2" width="5.5546875" customWidth="1"/>
    <col min="3" max="3" width="2.109375" customWidth="1"/>
    <col min="4" max="4" width="13.44140625" customWidth="1"/>
    <col min="5" max="14" width="10.44140625" customWidth="1"/>
    <col min="15" max="15" width="5.5546875" customWidth="1"/>
  </cols>
  <sheetData>
    <row r="1" spans="2:17" ht="22.5" customHeight="1">
      <c r="B1" s="381" t="str">
        <f>Cover!B12</f>
        <v>Blu Containers Company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2:17" ht="18.75" customHeight="1">
      <c r="B2" s="382" t="s">
        <v>20</v>
      </c>
      <c r="C2" s="382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7" ht="3" customHeight="1">
      <c r="B3" s="383"/>
      <c r="C3" s="383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</row>
    <row r="4" spans="2:17" ht="12" customHeight="1"/>
    <row r="5" spans="2:17" ht="15.9" customHeight="1">
      <c r="C5" s="385" t="s">
        <v>21</v>
      </c>
      <c r="D5" s="386"/>
      <c r="E5" s="386"/>
      <c r="F5" s="386"/>
      <c r="G5" s="386"/>
      <c r="H5" s="407"/>
      <c r="J5" s="385" t="s">
        <v>22</v>
      </c>
      <c r="K5" s="386"/>
      <c r="L5" s="386"/>
      <c r="M5" s="386"/>
      <c r="N5" s="407"/>
    </row>
    <row r="6" spans="2:17" ht="3" customHeight="1">
      <c r="C6" s="387"/>
      <c r="D6" s="388"/>
      <c r="E6" s="388"/>
      <c r="F6" s="388"/>
      <c r="G6" s="388"/>
      <c r="H6" s="408"/>
      <c r="J6" s="387"/>
      <c r="K6" s="388"/>
      <c r="L6" s="388"/>
      <c r="M6" s="388"/>
      <c r="N6" s="408"/>
    </row>
    <row r="7" spans="2:17" ht="3" customHeight="1">
      <c r="C7" s="389"/>
      <c r="D7" s="390"/>
      <c r="E7" s="390"/>
      <c r="F7" s="390"/>
      <c r="G7" s="390"/>
      <c r="H7" s="409"/>
      <c r="J7" s="389"/>
      <c r="K7" s="390"/>
      <c r="L7" s="390"/>
      <c r="M7" s="390"/>
      <c r="N7" s="409"/>
    </row>
    <row r="8" spans="2:17" ht="14.1" customHeight="1">
      <c r="C8" s="391" t="s">
        <v>23</v>
      </c>
      <c r="D8" s="18" t="s">
        <v>24</v>
      </c>
      <c r="G8" s="410">
        <v>2023</v>
      </c>
      <c r="H8" s="411"/>
      <c r="J8" s="405" t="str">
        <f ca="1">"Stock Price - "&amp;TEXT(TODAY()-1,"mm/dd/yy")</f>
        <v>Stock Price - 07/dd/yy</v>
      </c>
      <c r="K8" s="428"/>
      <c r="M8" s="437"/>
      <c r="N8" s="438">
        <v>11.5</v>
      </c>
      <c r="Q8" s="450"/>
    </row>
    <row r="9" spans="2:17" ht="14.1" customHeight="1">
      <c r="C9" s="391" t="s">
        <v>23</v>
      </c>
      <c r="D9" s="549" t="s">
        <v>25</v>
      </c>
      <c r="H9" s="411"/>
      <c r="J9" s="405" t="str">
        <f>"Fully Diluted Shares O/S (MM) - Dec. 31, "&amp;G8-1</f>
        <v>Fully Diluted Shares O/S (MM) - Dec. 31, 2022</v>
      </c>
      <c r="N9" s="439">
        <v>14.8</v>
      </c>
    </row>
    <row r="10" spans="2:17" ht="14.1" customHeight="1">
      <c r="C10" s="392"/>
      <c r="D10" s="393" t="s">
        <v>26</v>
      </c>
      <c r="E10" s="398"/>
      <c r="F10" s="398"/>
      <c r="G10" s="398"/>
      <c r="H10" s="412"/>
      <c r="J10" s="429" t="s">
        <v>27</v>
      </c>
      <c r="K10" s="398"/>
      <c r="L10" s="398"/>
      <c r="M10" s="440"/>
      <c r="N10" s="441">
        <v>0.2</v>
      </c>
    </row>
    <row r="11" spans="2:17" ht="14.1" customHeight="1">
      <c r="M11" s="437"/>
      <c r="N11" s="442"/>
    </row>
    <row r="12" spans="2:17" ht="6" customHeight="1">
      <c r="M12" s="437"/>
      <c r="N12" s="442"/>
    </row>
    <row r="13" spans="2:17" s="379" customFormat="1" ht="15.9" customHeight="1">
      <c r="C13" s="385" t="s">
        <v>28</v>
      </c>
      <c r="D13" s="386"/>
      <c r="E13" s="386"/>
      <c r="F13" s="386"/>
      <c r="G13" s="386"/>
      <c r="H13" s="407"/>
      <c r="J13" s="385" t="s">
        <v>29</v>
      </c>
      <c r="K13" s="386"/>
      <c r="L13" s="386"/>
      <c r="M13" s="386"/>
      <c r="N13" s="407"/>
    </row>
    <row r="14" spans="2:17" s="379" customFormat="1" ht="3" customHeight="1">
      <c r="C14" s="387"/>
      <c r="D14" s="388"/>
      <c r="E14" s="388"/>
      <c r="F14" s="388"/>
      <c r="G14" s="388"/>
      <c r="H14" s="408"/>
      <c r="J14" s="387"/>
      <c r="K14" s="388"/>
      <c r="L14" s="388"/>
      <c r="M14" s="388"/>
      <c r="N14" s="408"/>
    </row>
    <row r="15" spans="2:17" s="379" customFormat="1" ht="3" customHeight="1">
      <c r="C15" s="389"/>
      <c r="D15" s="390"/>
      <c r="E15" s="390"/>
      <c r="F15" s="390"/>
      <c r="G15" s="390"/>
      <c r="H15" s="409"/>
      <c r="J15" s="389"/>
      <c r="K15" s="390"/>
      <c r="L15" s="390"/>
      <c r="M15" s="390"/>
      <c r="N15" s="409"/>
    </row>
    <row r="16" spans="2:17" ht="14.1" customHeight="1">
      <c r="C16" s="391" t="s">
        <v>23</v>
      </c>
      <c r="D16" s="549" t="s">
        <v>30</v>
      </c>
      <c r="H16" s="411"/>
      <c r="J16" s="405"/>
      <c r="N16" s="411"/>
    </row>
    <row r="17" spans="3:15" ht="14.1" customHeight="1">
      <c r="C17" s="394" t="s">
        <v>31</v>
      </c>
      <c r="D17" s="395"/>
      <c r="E17" s="413" t="str">
        <f>Scenarios!G6&amp;" - "&amp;Scenarios!K6</f>
        <v>2023 - 2027</v>
      </c>
      <c r="F17" s="414"/>
      <c r="G17" s="413"/>
      <c r="H17" s="415"/>
      <c r="J17" s="550" t="s">
        <v>32</v>
      </c>
      <c r="N17" s="443">
        <v>420</v>
      </c>
    </row>
    <row r="18" spans="3:15" s="380" customFormat="1" ht="15">
      <c r="C18" s="396" t="s">
        <v>33</v>
      </c>
      <c r="D18"/>
      <c r="E18" s="9" t="s">
        <v>34</v>
      </c>
      <c r="F18" s="9"/>
      <c r="G18" s="9"/>
      <c r="H18" s="416"/>
      <c r="I18" s="431"/>
      <c r="J18" s="405"/>
      <c r="K18"/>
      <c r="L18"/>
      <c r="M18"/>
      <c r="N18" s="411"/>
    </row>
    <row r="19" spans="3:15" ht="14.1" customHeight="1">
      <c r="C19" s="396" t="s">
        <v>35</v>
      </c>
      <c r="F19" s="417">
        <v>0.04</v>
      </c>
      <c r="G19" s="9"/>
      <c r="H19" s="416" t="s">
        <v>1</v>
      </c>
      <c r="I19" s="18"/>
      <c r="J19" s="405" t="s">
        <v>211</v>
      </c>
      <c r="N19" s="568">
        <f>MAX(Model!O22)</f>
        <v>1</v>
      </c>
      <c r="O19" t="s">
        <v>212</v>
      </c>
    </row>
    <row r="20" spans="3:15" ht="15.6" customHeight="1">
      <c r="C20" s="397" t="s">
        <v>36</v>
      </c>
      <c r="D20" s="398"/>
      <c r="E20" s="398"/>
      <c r="F20" s="418">
        <v>-0.04</v>
      </c>
      <c r="G20" s="419"/>
      <c r="H20" s="420" t="s">
        <v>1</v>
      </c>
      <c r="I20" s="18"/>
      <c r="J20" s="429"/>
      <c r="K20" s="398"/>
      <c r="L20" s="398"/>
      <c r="M20" s="398"/>
      <c r="N20" s="412"/>
    </row>
    <row r="21" spans="3:15" ht="14.1" customHeight="1">
      <c r="I21" s="18"/>
    </row>
    <row r="22" spans="3:15" ht="6" customHeight="1">
      <c r="I22" s="18"/>
    </row>
    <row r="23" spans="3:15" s="379" customFormat="1" ht="15.9" customHeight="1">
      <c r="C23" s="385" t="s">
        <v>37</v>
      </c>
      <c r="D23" s="386"/>
      <c r="E23" s="386"/>
      <c r="F23" s="386"/>
      <c r="G23" s="386"/>
      <c r="H23" s="407"/>
      <c r="J23" s="385" t="s">
        <v>38</v>
      </c>
      <c r="K23" s="386"/>
      <c r="L23" s="386"/>
      <c r="M23" s="386"/>
      <c r="N23" s="407"/>
    </row>
    <row r="24" spans="3:15" ht="3" customHeight="1">
      <c r="C24" s="387"/>
      <c r="D24" s="388"/>
      <c r="E24" s="388"/>
      <c r="F24" s="388"/>
      <c r="G24" s="388"/>
      <c r="H24" s="408"/>
      <c r="J24" s="387"/>
      <c r="K24" s="388"/>
      <c r="L24" s="388"/>
      <c r="M24" s="388"/>
      <c r="N24" s="408"/>
    </row>
    <row r="25" spans="3:15" ht="3" customHeight="1">
      <c r="C25" s="389"/>
      <c r="D25" s="390"/>
      <c r="E25" s="390"/>
      <c r="F25" s="390"/>
      <c r="G25" s="390"/>
      <c r="H25" s="409"/>
      <c r="J25" s="389"/>
      <c r="K25" s="390"/>
      <c r="L25" s="390"/>
      <c r="M25" s="390"/>
      <c r="N25" s="409"/>
    </row>
    <row r="26" spans="3:15" ht="15.6" customHeight="1">
      <c r="C26" s="394" t="s">
        <v>39</v>
      </c>
      <c r="D26" s="18"/>
      <c r="E26" s="35">
        <f>G8</f>
        <v>2023</v>
      </c>
      <c r="G26" s="35" t="s">
        <v>40</v>
      </c>
      <c r="H26" s="411"/>
      <c r="J26" s="432"/>
      <c r="N26" s="411"/>
    </row>
    <row r="27" spans="3:15" ht="14.1" customHeight="1">
      <c r="C27" s="399" t="s">
        <v>41</v>
      </c>
      <c r="D27" s="18"/>
      <c r="E27" s="421">
        <v>226</v>
      </c>
      <c r="F27" t="s">
        <v>42</v>
      </c>
      <c r="G27" t="s">
        <v>43</v>
      </c>
      <c r="H27" s="411"/>
      <c r="J27" s="430" t="s">
        <v>44</v>
      </c>
      <c r="M27" s="30"/>
      <c r="N27" s="444">
        <v>0.01</v>
      </c>
    </row>
    <row r="28" spans="3:15" ht="14.1" customHeight="1">
      <c r="C28" s="399" t="s">
        <v>45</v>
      </c>
      <c r="D28" s="18"/>
      <c r="E28" s="421">
        <v>66.2</v>
      </c>
      <c r="F28" t="s">
        <v>42</v>
      </c>
      <c r="G28" t="s">
        <v>43</v>
      </c>
      <c r="H28" s="411"/>
      <c r="J28" s="433" t="s">
        <v>46</v>
      </c>
      <c r="N28" s="444">
        <v>0.06</v>
      </c>
    </row>
    <row r="29" spans="3:15" ht="14.1" customHeight="1">
      <c r="C29" s="399" t="s">
        <v>47</v>
      </c>
      <c r="D29" s="18"/>
      <c r="E29" s="421">
        <v>23.5</v>
      </c>
      <c r="F29" t="s">
        <v>48</v>
      </c>
      <c r="G29" t="s">
        <v>49</v>
      </c>
      <c r="H29" s="411"/>
      <c r="J29" s="433" t="s">
        <v>50</v>
      </c>
      <c r="N29" s="444">
        <v>0.06</v>
      </c>
    </row>
    <row r="30" spans="3:15" ht="15.6" customHeight="1">
      <c r="C30" s="399" t="s">
        <v>51</v>
      </c>
      <c r="D30" s="18"/>
      <c r="E30" s="421">
        <v>43.5</v>
      </c>
      <c r="F30" t="s">
        <v>48</v>
      </c>
      <c r="G30" t="s">
        <v>49</v>
      </c>
      <c r="H30" s="411"/>
      <c r="J30" s="405"/>
      <c r="N30" s="411"/>
    </row>
    <row r="31" spans="3:15" ht="14.1" customHeight="1">
      <c r="C31" s="399" t="s">
        <v>52</v>
      </c>
      <c r="D31" s="18"/>
      <c r="E31" s="421">
        <v>2</v>
      </c>
      <c r="F31" t="s">
        <v>48</v>
      </c>
      <c r="G31" t="s">
        <v>49</v>
      </c>
      <c r="H31" s="411"/>
      <c r="J31" s="405"/>
      <c r="N31" s="411"/>
    </row>
    <row r="32" spans="3:15" ht="15.6" customHeight="1">
      <c r="C32" s="400" t="s">
        <v>53</v>
      </c>
      <c r="D32" s="393"/>
      <c r="E32" s="422">
        <v>3.9</v>
      </c>
      <c r="F32" s="398" t="s">
        <v>48</v>
      </c>
      <c r="G32" s="398" t="s">
        <v>49</v>
      </c>
      <c r="H32" s="412"/>
      <c r="J32" s="429"/>
      <c r="K32" s="398"/>
      <c r="L32" s="398"/>
      <c r="M32" s="398"/>
      <c r="N32" s="412"/>
    </row>
    <row r="33" spans="2:17" ht="14.1" customHeight="1"/>
    <row r="34" spans="2:17" ht="6" customHeight="1"/>
    <row r="35" spans="2:17" s="379" customFormat="1" ht="15.9" customHeight="1">
      <c r="C35" s="385" t="s">
        <v>54</v>
      </c>
      <c r="D35" s="401"/>
      <c r="E35" s="401"/>
      <c r="F35" s="401"/>
      <c r="G35" s="401"/>
      <c r="H35" s="423"/>
      <c r="J35" s="385" t="s">
        <v>55</v>
      </c>
      <c r="K35" s="401"/>
      <c r="L35" s="401"/>
      <c r="M35" s="401"/>
      <c r="N35" s="423"/>
    </row>
    <row r="36" spans="2:17" ht="3" customHeight="1">
      <c r="C36" s="387"/>
      <c r="D36" s="388"/>
      <c r="E36" s="388"/>
      <c r="F36" s="388"/>
      <c r="G36" s="388"/>
      <c r="H36" s="408"/>
      <c r="J36" s="387"/>
      <c r="K36" s="388"/>
      <c r="L36" s="388"/>
      <c r="M36" s="388"/>
      <c r="N36" s="408"/>
    </row>
    <row r="37" spans="2:17" ht="3" customHeight="1">
      <c r="C37" s="389"/>
      <c r="D37" s="390"/>
      <c r="E37" s="390"/>
      <c r="F37" s="390"/>
      <c r="G37" s="390"/>
      <c r="H37" s="409"/>
      <c r="J37" s="389"/>
      <c r="K37" s="390"/>
      <c r="L37" s="390"/>
      <c r="M37" s="390"/>
      <c r="N37" s="409"/>
    </row>
    <row r="38" spans="2:17" ht="14.1" customHeight="1">
      <c r="C38" s="391" t="s">
        <v>23</v>
      </c>
      <c r="D38" s="549" t="s">
        <v>56</v>
      </c>
      <c r="H38" s="424" t="s">
        <v>57</v>
      </c>
      <c r="J38" s="405"/>
      <c r="N38" s="411"/>
    </row>
    <row r="39" spans="2:17" ht="14.1" customHeight="1">
      <c r="C39" s="391" t="s">
        <v>23</v>
      </c>
      <c r="D39" s="551" t="s">
        <v>58</v>
      </c>
      <c r="H39" s="425">
        <v>25</v>
      </c>
      <c r="J39" s="550" t="s">
        <v>59</v>
      </c>
      <c r="N39" s="444">
        <v>0.35</v>
      </c>
    </row>
    <row r="40" spans="2:17" ht="14.1" customHeight="1">
      <c r="C40" s="392" t="s">
        <v>23</v>
      </c>
      <c r="D40" s="552" t="s">
        <v>60</v>
      </c>
      <c r="E40" s="398"/>
      <c r="F40" s="398"/>
      <c r="G40" s="398"/>
      <c r="H40" s="426">
        <v>30</v>
      </c>
      <c r="J40" s="553" t="s">
        <v>61</v>
      </c>
      <c r="K40" s="398"/>
      <c r="L40" s="398"/>
      <c r="M40" s="398"/>
      <c r="N40" s="445"/>
    </row>
    <row r="41" spans="2:17" ht="15" customHeight="1">
      <c r="B41" s="23"/>
      <c r="C41" s="23"/>
      <c r="D41" s="403"/>
      <c r="E41" s="70"/>
      <c r="F41" s="70"/>
      <c r="G41" s="70"/>
      <c r="H41" s="70"/>
      <c r="I41" s="23"/>
      <c r="J41" s="23"/>
      <c r="K41" s="23"/>
      <c r="L41" s="23"/>
      <c r="M41" s="23"/>
      <c r="N41" s="23"/>
      <c r="O41" s="23"/>
    </row>
    <row r="42" spans="2:17" ht="14.1" customHeight="1">
      <c r="C42" s="404"/>
      <c r="D42" s="402"/>
      <c r="H42" s="427"/>
    </row>
    <row r="43" spans="2:17" ht="14.1" customHeight="1">
      <c r="C43" s="404"/>
    </row>
    <row r="44" spans="2:17" ht="22.5" customHeight="1">
      <c r="B44" s="11" t="str">
        <f>Summary!B1</f>
        <v>Blu Containers Company</v>
      </c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2:17" ht="18.75" customHeight="1">
      <c r="B45" s="382" t="s">
        <v>20</v>
      </c>
      <c r="C45" s="38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2:17" ht="3" customHeight="1">
      <c r="B46" s="383"/>
      <c r="C46" s="383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</row>
    <row r="47" spans="2:17" ht="12" customHeight="1">
      <c r="C47" s="404"/>
    </row>
    <row r="48" spans="2:17" s="379" customFormat="1" ht="15.9" customHeight="1">
      <c r="C48" s="385" t="s">
        <v>62</v>
      </c>
      <c r="D48" s="401"/>
      <c r="E48" s="401"/>
      <c r="F48" s="401"/>
      <c r="G48" s="401"/>
      <c r="H48" s="401"/>
      <c r="I48" s="401"/>
      <c r="J48" s="434">
        <f>G8</f>
        <v>2023</v>
      </c>
      <c r="K48" s="434">
        <f>J48+1</f>
        <v>2024</v>
      </c>
      <c r="L48" s="434">
        <f>K48+1</f>
        <v>2025</v>
      </c>
      <c r="M48" s="434">
        <f>L48+1</f>
        <v>2026</v>
      </c>
      <c r="N48" s="446">
        <f>M48+1</f>
        <v>2027</v>
      </c>
      <c r="Q48" s="451"/>
    </row>
    <row r="49" spans="3:17" s="379" customFormat="1" ht="3" customHeight="1">
      <c r="C49" s="387"/>
      <c r="D49" s="388"/>
      <c r="E49" s="388"/>
      <c r="F49" s="388"/>
      <c r="G49" s="388"/>
      <c r="H49" s="408"/>
      <c r="I49" s="408"/>
      <c r="J49" s="408"/>
      <c r="K49" s="408"/>
      <c r="L49" s="408"/>
      <c r="M49" s="408"/>
      <c r="N49" s="408"/>
      <c r="Q49" s="451"/>
    </row>
    <row r="50" spans="3:17" s="379" customFormat="1" ht="3" customHeight="1">
      <c r="C50" s="389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409"/>
      <c r="Q50" s="451"/>
    </row>
    <row r="51" spans="3:17" ht="8.1" customHeight="1">
      <c r="C51" s="405"/>
      <c r="N51" s="411"/>
    </row>
    <row r="52" spans="3:17" ht="14.1" customHeight="1">
      <c r="C52" s="406" t="s">
        <v>63</v>
      </c>
      <c r="J52" s="240"/>
      <c r="K52" s="240"/>
      <c r="L52" s="240"/>
      <c r="M52" s="240"/>
      <c r="N52" s="447"/>
      <c r="Q52" s="452"/>
    </row>
    <row r="53" spans="3:17" ht="14.1" customHeight="1">
      <c r="C53" s="406"/>
      <c r="D53" t="s">
        <v>64</v>
      </c>
      <c r="G53" t="s">
        <v>48</v>
      </c>
      <c r="J53" s="435">
        <v>0</v>
      </c>
      <c r="K53" s="435">
        <v>0</v>
      </c>
      <c r="L53" s="435">
        <v>0</v>
      </c>
      <c r="M53" s="435">
        <v>0</v>
      </c>
      <c r="N53" s="448">
        <v>0</v>
      </c>
    </row>
    <row r="54" spans="3:17" ht="6" customHeight="1">
      <c r="C54" s="405"/>
      <c r="N54" s="411"/>
    </row>
    <row r="55" spans="3:17" ht="14.1" customHeight="1">
      <c r="C55" s="406" t="s">
        <v>65</v>
      </c>
      <c r="J55" s="240"/>
      <c r="K55" s="240"/>
      <c r="L55" s="240"/>
      <c r="M55" s="240"/>
      <c r="N55" s="447"/>
      <c r="Q55" s="452"/>
    </row>
    <row r="56" spans="3:17" ht="14.1" customHeight="1">
      <c r="C56" s="406"/>
      <c r="D56" t="s">
        <v>66</v>
      </c>
      <c r="G56" t="s">
        <v>48</v>
      </c>
      <c r="J56" s="435">
        <v>0</v>
      </c>
      <c r="K56" s="435">
        <v>0</v>
      </c>
      <c r="L56" s="435">
        <v>0</v>
      </c>
      <c r="M56" s="435">
        <v>0</v>
      </c>
      <c r="N56" s="448">
        <v>0</v>
      </c>
    </row>
    <row r="57" spans="3:17" ht="6" customHeight="1">
      <c r="C57" s="405"/>
      <c r="N57" s="411"/>
    </row>
    <row r="58" spans="3:17" ht="14.1" customHeight="1">
      <c r="C58" s="406" t="s">
        <v>67</v>
      </c>
      <c r="G58" t="s">
        <v>48</v>
      </c>
      <c r="J58" s="435">
        <v>16</v>
      </c>
      <c r="K58" s="435">
        <v>17</v>
      </c>
      <c r="L58" s="435">
        <v>17.3</v>
      </c>
      <c r="M58" s="435">
        <v>17.5</v>
      </c>
      <c r="N58" s="448">
        <v>18</v>
      </c>
      <c r="Q58" s="452"/>
    </row>
    <row r="59" spans="3:17" ht="6" customHeight="1">
      <c r="C59" s="405"/>
      <c r="N59" s="411"/>
    </row>
    <row r="60" spans="3:17" ht="14.25" customHeight="1">
      <c r="C60" s="406" t="s">
        <v>68</v>
      </c>
      <c r="N60" s="411"/>
    </row>
    <row r="61" spans="3:17" ht="14.25" customHeight="1">
      <c r="C61" s="405"/>
      <c r="D61" t="s">
        <v>69</v>
      </c>
      <c r="G61" t="s">
        <v>48</v>
      </c>
      <c r="J61" s="435">
        <v>5</v>
      </c>
      <c r="K61" s="435">
        <v>5</v>
      </c>
      <c r="L61" s="435">
        <v>5</v>
      </c>
      <c r="M61" s="435">
        <v>5</v>
      </c>
      <c r="N61" s="448">
        <v>5</v>
      </c>
    </row>
    <row r="62" spans="3:17" ht="6" customHeight="1">
      <c r="C62" s="405"/>
      <c r="N62" s="411"/>
    </row>
    <row r="63" spans="3:17" ht="14.25" customHeight="1">
      <c r="C63" s="406" t="s">
        <v>70</v>
      </c>
      <c r="N63" s="411"/>
    </row>
    <row r="64" spans="3:17" ht="14.1" customHeight="1">
      <c r="C64" s="405"/>
      <c r="D64" t="s">
        <v>71</v>
      </c>
      <c r="G64" t="s">
        <v>72</v>
      </c>
      <c r="J64" s="436">
        <v>48</v>
      </c>
      <c r="K64" s="436">
        <v>44</v>
      </c>
      <c r="L64" s="436">
        <v>40</v>
      </c>
      <c r="M64" s="436">
        <v>40</v>
      </c>
      <c r="N64" s="449">
        <v>40</v>
      </c>
    </row>
    <row r="65" spans="2:15" ht="14.1" customHeight="1">
      <c r="C65" s="432"/>
      <c r="D65" t="s">
        <v>73</v>
      </c>
      <c r="G65" t="s">
        <v>72</v>
      </c>
      <c r="J65" s="436">
        <v>70</v>
      </c>
      <c r="K65" s="436">
        <v>65</v>
      </c>
      <c r="L65" s="436">
        <v>60</v>
      </c>
      <c r="M65" s="436">
        <v>60</v>
      </c>
      <c r="N65" s="449">
        <v>55</v>
      </c>
    </row>
    <row r="66" spans="2:15" ht="14.1" customHeight="1">
      <c r="C66" s="432"/>
      <c r="D66" t="s">
        <v>74</v>
      </c>
      <c r="G66" t="s">
        <v>72</v>
      </c>
      <c r="J66" s="436">
        <v>30</v>
      </c>
      <c r="K66" s="436">
        <v>30</v>
      </c>
      <c r="L66" s="436">
        <v>30</v>
      </c>
      <c r="M66" s="436">
        <v>30</v>
      </c>
      <c r="N66" s="449">
        <v>30</v>
      </c>
    </row>
    <row r="67" spans="2:15" ht="14.1" customHeight="1">
      <c r="C67" s="432"/>
      <c r="D67" t="s">
        <v>75</v>
      </c>
      <c r="G67" t="s">
        <v>72</v>
      </c>
      <c r="J67" s="436">
        <v>3</v>
      </c>
      <c r="K67" s="436">
        <v>3</v>
      </c>
      <c r="L67" s="436">
        <v>3</v>
      </c>
      <c r="M67" s="436">
        <v>3</v>
      </c>
      <c r="N67" s="449">
        <v>3</v>
      </c>
    </row>
    <row r="68" spans="2:15" ht="14.1" customHeight="1">
      <c r="C68" s="391"/>
      <c r="D68" t="s">
        <v>76</v>
      </c>
      <c r="G68" t="s">
        <v>72</v>
      </c>
      <c r="J68" s="436">
        <v>40</v>
      </c>
      <c r="K68" s="436">
        <v>40</v>
      </c>
      <c r="L68" s="436">
        <v>40</v>
      </c>
      <c r="M68" s="436">
        <v>40</v>
      </c>
      <c r="N68" s="449">
        <v>40</v>
      </c>
    </row>
    <row r="69" spans="2:15" ht="14.1" customHeight="1">
      <c r="C69" s="391"/>
      <c r="D69" t="s">
        <v>77</v>
      </c>
      <c r="G69" t="s">
        <v>72</v>
      </c>
      <c r="J69" s="436">
        <v>10</v>
      </c>
      <c r="K69" s="436">
        <v>10</v>
      </c>
      <c r="L69" s="436">
        <v>10</v>
      </c>
      <c r="M69" s="436">
        <v>10</v>
      </c>
      <c r="N69" s="449">
        <v>10</v>
      </c>
    </row>
    <row r="70" spans="2:15" ht="6" customHeight="1">
      <c r="C70" s="391"/>
      <c r="N70" s="411"/>
    </row>
    <row r="71" spans="2:15" ht="14.1" customHeight="1">
      <c r="C71" s="453" t="s">
        <v>78</v>
      </c>
      <c r="N71" s="411"/>
    </row>
    <row r="72" spans="2:15" ht="14.1" customHeight="1">
      <c r="C72" s="399"/>
      <c r="D72" t="s">
        <v>79</v>
      </c>
      <c r="G72" t="s">
        <v>48</v>
      </c>
      <c r="J72" s="435">
        <v>-25</v>
      </c>
      <c r="K72" s="435">
        <v>-25</v>
      </c>
      <c r="L72" s="435">
        <v>-25</v>
      </c>
      <c r="M72" s="435">
        <v>-25</v>
      </c>
      <c r="N72" s="435">
        <v>-25</v>
      </c>
    </row>
    <row r="73" spans="2:15" ht="14.1" customHeight="1">
      <c r="C73" s="391"/>
      <c r="D73" t="s">
        <v>80</v>
      </c>
      <c r="G73" t="s">
        <v>48</v>
      </c>
      <c r="J73" s="435">
        <v>0</v>
      </c>
      <c r="K73" s="435">
        <v>0</v>
      </c>
      <c r="L73" s="435">
        <v>0</v>
      </c>
      <c r="M73" s="435">
        <v>0</v>
      </c>
      <c r="N73" s="448">
        <v>0</v>
      </c>
    </row>
    <row r="74" spans="2:15" ht="12" customHeight="1">
      <c r="C74" s="392"/>
      <c r="D74" s="398"/>
      <c r="E74" s="398"/>
      <c r="F74" s="398"/>
      <c r="G74" s="398"/>
      <c r="H74" s="398"/>
      <c r="I74" s="398"/>
      <c r="J74" s="455"/>
      <c r="K74" s="455"/>
      <c r="L74" s="455"/>
      <c r="M74" s="455"/>
      <c r="N74" s="456"/>
    </row>
    <row r="75" spans="2:15" ht="9" customHeight="1">
      <c r="B75" s="23"/>
      <c r="C75" s="23"/>
      <c r="D75" s="403"/>
      <c r="E75" s="70"/>
      <c r="F75" s="70"/>
      <c r="G75" s="70"/>
      <c r="H75" s="70"/>
      <c r="I75" s="23"/>
      <c r="J75" s="23"/>
      <c r="K75" s="23"/>
      <c r="L75" s="23"/>
      <c r="M75" s="23"/>
      <c r="N75" s="23"/>
      <c r="O75" s="23"/>
    </row>
    <row r="76" spans="2:15" ht="12.75" customHeight="1">
      <c r="D76" s="454"/>
      <c r="E76" s="9"/>
      <c r="F76" s="9"/>
      <c r="G76" s="9"/>
      <c r="H76" s="9"/>
    </row>
  </sheetData>
  <sheetProtection formatCells="0" formatColumns="0" formatRows="0" insertColumns="0" insertRows="0"/>
  <conditionalFormatting sqref="J349:N353">
    <cfRule type="cellIs" dxfId="5" priority="4" stopIfTrue="1" operator="greaterThan">
      <formula>330</formula>
    </cfRule>
  </conditionalFormatting>
  <conditionalFormatting sqref="N19">
    <cfRule type="cellIs" dxfId="4" priority="1" operator="greaterThan">
      <formula>0.9</formula>
    </cfRule>
    <cfRule type="cellIs" dxfId="3" priority="2" operator="greaterThan">
      <formula>1</formula>
    </cfRule>
    <cfRule type="cellIs" dxfId="2" priority="3" operator="greaterThan">
      <formula>1</formula>
    </cfRule>
  </conditionalFormatting>
  <printOptions horizontalCentered="1"/>
  <pageMargins left="0.23622047244094491" right="0.23622047244094491" top="0.23622047244094491" bottom="0.51181102362204722" header="0.23622047244094491" footer="0.23622047244094491"/>
  <pageSetup scale="95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2"/>
  <sheetViews>
    <sheetView showGridLines="0" workbookViewId="0">
      <selection activeCell="D39" sqref="D39"/>
    </sheetView>
  </sheetViews>
  <sheetFormatPr baseColWidth="10" defaultColWidth="10.5546875" defaultRowHeight="13.2"/>
  <cols>
    <col min="1" max="1" width="4.33203125" style="305" customWidth="1"/>
    <col min="2" max="2" width="1.5546875" style="305" customWidth="1"/>
    <col min="3" max="3" width="18.5546875" style="305" customWidth="1"/>
    <col min="4" max="4" width="11.5546875" style="306" customWidth="1"/>
    <col min="5" max="5" width="1.5546875" style="306" customWidth="1"/>
    <col min="6" max="6" width="6.6640625" style="305" customWidth="1"/>
    <col min="7" max="11" width="12.6640625" style="305" customWidth="1"/>
    <col min="12" max="12" width="13.5546875" style="305" customWidth="1"/>
    <col min="13" max="13" width="10.44140625" style="305" customWidth="1"/>
    <col min="14" max="17" width="13.5546875" style="305" customWidth="1"/>
    <col min="18" max="16384" width="10.5546875" style="305"/>
  </cols>
  <sheetData>
    <row r="1" spans="1:11" s="303" customFormat="1" ht="22.65" customHeight="1">
      <c r="B1" s="307" t="str">
        <f>Assumptions!B1</f>
        <v>Blu Containers Company</v>
      </c>
      <c r="C1" s="308"/>
      <c r="D1" s="308"/>
      <c r="E1" s="308"/>
      <c r="F1" s="308"/>
      <c r="G1" s="308"/>
      <c r="H1" s="308"/>
      <c r="I1" s="308"/>
      <c r="J1" s="308"/>
      <c r="K1" s="308"/>
    </row>
    <row r="2" spans="1:11" ht="17.399999999999999">
      <c r="B2" s="309" t="s">
        <v>81</v>
      </c>
      <c r="C2" s="309"/>
      <c r="D2" s="309"/>
      <c r="E2" s="309"/>
      <c r="F2" s="309"/>
      <c r="G2" s="309"/>
      <c r="H2" s="309"/>
      <c r="I2" s="309"/>
      <c r="J2" s="309"/>
      <c r="K2" s="309"/>
    </row>
    <row r="3" spans="1:11" ht="3" customHeight="1">
      <c r="B3" s="310"/>
      <c r="C3" s="310"/>
      <c r="D3" s="311"/>
      <c r="E3" s="311"/>
      <c r="F3" s="310"/>
      <c r="G3" s="310"/>
      <c r="H3" s="310"/>
      <c r="I3" s="310"/>
      <c r="J3" s="310"/>
      <c r="K3" s="310"/>
    </row>
    <row r="4" spans="1:11" ht="12.75" customHeight="1">
      <c r="C4" s="312"/>
      <c r="D4" s="313"/>
      <c r="E4" s="313"/>
      <c r="F4" s="312"/>
    </row>
    <row r="5" spans="1:11" ht="6" customHeight="1">
      <c r="B5" s="314"/>
      <c r="C5" s="315"/>
      <c r="D5" s="316"/>
      <c r="E5" s="338"/>
      <c r="G5" s="339"/>
      <c r="H5" s="339"/>
      <c r="I5" s="339"/>
      <c r="J5" s="339"/>
      <c r="K5" s="339"/>
    </row>
    <row r="6" spans="1:11" ht="16.2" customHeight="1">
      <c r="B6" s="317" t="s">
        <v>82</v>
      </c>
      <c r="C6" s="318"/>
      <c r="D6" s="319">
        <v>1</v>
      </c>
      <c r="E6" s="340"/>
      <c r="F6" s="318"/>
      <c r="G6" s="341">
        <f>Assumptions!G8</f>
        <v>2023</v>
      </c>
      <c r="H6" s="341">
        <f>G6+1</f>
        <v>2024</v>
      </c>
      <c r="I6" s="341">
        <f>H6+1</f>
        <v>2025</v>
      </c>
      <c r="J6" s="341">
        <f>I6+1</f>
        <v>2026</v>
      </c>
      <c r="K6" s="341">
        <f>J6+1</f>
        <v>2027</v>
      </c>
    </row>
    <row r="7" spans="1:11" ht="6" customHeight="1">
      <c r="B7" s="320"/>
      <c r="C7" s="321"/>
      <c r="D7" s="322"/>
      <c r="E7" s="342"/>
      <c r="F7" s="318"/>
      <c r="G7" s="343"/>
      <c r="H7" s="343"/>
      <c r="I7" s="343"/>
      <c r="J7" s="343"/>
      <c r="K7" s="343"/>
    </row>
    <row r="8" spans="1:11">
      <c r="B8" s="318"/>
      <c r="C8" s="318"/>
      <c r="D8" s="323"/>
      <c r="E8" s="323"/>
      <c r="F8" s="318"/>
      <c r="G8" s="343"/>
      <c r="H8" s="343"/>
      <c r="I8" s="343"/>
      <c r="J8" s="343"/>
      <c r="K8" s="343"/>
    </row>
    <row r="9" spans="1:11">
      <c r="B9" s="318"/>
      <c r="C9" s="318"/>
      <c r="D9" s="323" t="s">
        <v>33</v>
      </c>
      <c r="E9" s="323"/>
      <c r="F9" s="318"/>
      <c r="G9" s="343"/>
      <c r="H9" s="343"/>
      <c r="I9" s="343"/>
      <c r="J9" s="343"/>
      <c r="K9" s="343"/>
    </row>
    <row r="10" spans="1:11" ht="15.6">
      <c r="A10" s="324"/>
      <c r="B10" s="325" t="s">
        <v>83</v>
      </c>
    </row>
    <row r="11" spans="1:11" ht="12.75" customHeight="1"/>
    <row r="12" spans="1:11" ht="16.2" customHeight="1">
      <c r="B12" s="326" t="s">
        <v>84</v>
      </c>
      <c r="D12" s="327" t="s">
        <v>85</v>
      </c>
      <c r="E12" s="327"/>
      <c r="G12" s="344">
        <f>CHOOSE($D$6,G14,G15,G16)</f>
        <v>0.02</v>
      </c>
      <c r="H12" s="345">
        <f t="shared" ref="H12:K12" si="0">CHOOSE($D$6,H14,H15,H16)</f>
        <v>0.02</v>
      </c>
      <c r="I12" s="345">
        <f t="shared" si="0"/>
        <v>0.02</v>
      </c>
      <c r="J12" s="345">
        <f t="shared" si="0"/>
        <v>2.5000000000000001E-2</v>
      </c>
      <c r="K12" s="367">
        <f t="shared" si="0"/>
        <v>2.5000000000000001E-2</v>
      </c>
    </row>
    <row r="13" spans="1:11" ht="4.3499999999999996" customHeight="1">
      <c r="B13" s="328"/>
      <c r="D13" s="327"/>
      <c r="E13" s="327"/>
      <c r="G13" s="166"/>
      <c r="H13" s="71"/>
      <c r="I13" s="71"/>
      <c r="J13" s="71"/>
      <c r="K13" s="71"/>
    </row>
    <row r="14" spans="1:11">
      <c r="B14" s="328"/>
      <c r="C14" s="305" t="str">
        <f>Assumptions!C18</f>
        <v>Base Case</v>
      </c>
      <c r="D14" s="327" t="s">
        <v>86</v>
      </c>
      <c r="E14" s="327"/>
      <c r="G14" s="346">
        <v>0.02</v>
      </c>
      <c r="H14" s="347">
        <v>0.02</v>
      </c>
      <c r="I14" s="347">
        <v>0.02</v>
      </c>
      <c r="J14" s="347">
        <v>2.5000000000000001E-2</v>
      </c>
      <c r="K14" s="368">
        <v>2.5000000000000001E-2</v>
      </c>
    </row>
    <row r="15" spans="1:11">
      <c r="B15" s="328"/>
      <c r="C15" s="305" t="str">
        <f>Assumptions!C19</f>
        <v>Best Case</v>
      </c>
      <c r="D15" s="327" t="s">
        <v>87</v>
      </c>
      <c r="E15" s="327"/>
      <c r="G15" s="348">
        <v>1.7999999999999999E-2</v>
      </c>
      <c r="H15" s="349">
        <v>1.7999999999999999E-2</v>
      </c>
      <c r="I15" s="349">
        <v>1.7999999999999999E-2</v>
      </c>
      <c r="J15" s="349">
        <v>0.02</v>
      </c>
      <c r="K15" s="369">
        <v>0.02</v>
      </c>
    </row>
    <row r="16" spans="1:11">
      <c r="B16" s="328"/>
      <c r="C16" s="305" t="str">
        <f>Assumptions!C20</f>
        <v>Worst Case</v>
      </c>
      <c r="D16" s="327" t="s">
        <v>88</v>
      </c>
      <c r="E16" s="327"/>
      <c r="G16" s="350">
        <v>2.5000000000000001E-2</v>
      </c>
      <c r="H16" s="351">
        <v>2.5000000000000001E-2</v>
      </c>
      <c r="I16" s="351">
        <v>2.5000000000000001E-2</v>
      </c>
      <c r="J16" s="351">
        <v>2.5000000000000001E-2</v>
      </c>
      <c r="K16" s="370">
        <v>2.5000000000000001E-2</v>
      </c>
    </row>
    <row r="17" spans="1:13">
      <c r="C17" s="329"/>
      <c r="D17" s="330"/>
      <c r="E17" s="330"/>
      <c r="G17" s="352"/>
      <c r="H17" s="352"/>
      <c r="I17" s="352"/>
      <c r="J17" s="352"/>
      <c r="K17" s="371"/>
    </row>
    <row r="18" spans="1:13">
      <c r="B18" s="331"/>
      <c r="C18" s="331"/>
      <c r="D18" s="332"/>
      <c r="E18" s="332"/>
      <c r="F18" s="331"/>
      <c r="G18" s="331"/>
      <c r="H18" s="331"/>
      <c r="I18" s="331"/>
      <c r="J18" s="331"/>
      <c r="K18" s="331"/>
    </row>
    <row r="20" spans="1:13" ht="12.75" customHeight="1"/>
    <row r="21" spans="1:13" ht="12.75" customHeight="1">
      <c r="B21" s="325" t="s">
        <v>89</v>
      </c>
    </row>
    <row r="22" spans="1:13" ht="12.75" customHeight="1"/>
    <row r="23" spans="1:13" s="304" customFormat="1" ht="16.2" customHeight="1">
      <c r="B23" s="326" t="s">
        <v>90</v>
      </c>
      <c r="D23" s="333"/>
      <c r="E23" s="333"/>
      <c r="G23" s="353">
        <f>CHOOSE($D$6,G25,G26,G27)</f>
        <v>800</v>
      </c>
      <c r="H23" s="354">
        <f t="shared" ref="H23:K23" si="1">CHOOSE($D$6,H25,H26,H27)</f>
        <v>725</v>
      </c>
      <c r="I23" s="354">
        <f t="shared" si="1"/>
        <v>825</v>
      </c>
      <c r="J23" s="354">
        <f t="shared" si="1"/>
        <v>800</v>
      </c>
      <c r="K23" s="372">
        <f t="shared" si="1"/>
        <v>750</v>
      </c>
    </row>
    <row r="24" spans="1:13" ht="4.3499999999999996" customHeight="1">
      <c r="B24" s="328"/>
      <c r="D24" s="327"/>
      <c r="E24" s="327"/>
      <c r="G24" s="355"/>
      <c r="H24" s="355"/>
      <c r="I24" s="355"/>
      <c r="J24" s="355"/>
      <c r="K24" s="355"/>
    </row>
    <row r="25" spans="1:13">
      <c r="C25" s="329" t="str">
        <f>C14</f>
        <v>Base Case</v>
      </c>
      <c r="D25" s="330"/>
      <c r="E25" s="330"/>
      <c r="G25" s="356">
        <v>800</v>
      </c>
      <c r="H25" s="357">
        <v>725</v>
      </c>
      <c r="I25" s="357">
        <v>825</v>
      </c>
      <c r="J25" s="357">
        <v>800</v>
      </c>
      <c r="K25" s="373">
        <v>750</v>
      </c>
      <c r="L25" s="374"/>
      <c r="M25" s="366"/>
    </row>
    <row r="26" spans="1:13">
      <c r="A26" s="334">
        <f>Assumptions!F19</f>
        <v>0.04</v>
      </c>
      <c r="C26" s="329" t="str">
        <f t="shared" ref="C26:C27" si="2">C15</f>
        <v>Best Case</v>
      </c>
      <c r="D26" s="330"/>
      <c r="E26" s="330"/>
      <c r="G26" s="358">
        <f>G25*(1+$A26)</f>
        <v>832</v>
      </c>
      <c r="H26" s="358">
        <f>H25*(1+$A26)</f>
        <v>754</v>
      </c>
      <c r="I26" s="358">
        <f>I25*(1+$A26)</f>
        <v>858</v>
      </c>
      <c r="J26" s="358">
        <f>J25*(1+$A26)</f>
        <v>832</v>
      </c>
      <c r="K26" s="358">
        <f>K25*(1+$A26)</f>
        <v>780</v>
      </c>
      <c r="L26" s="374"/>
      <c r="M26" s="366"/>
    </row>
    <row r="27" spans="1:13">
      <c r="A27" s="334">
        <f>Assumptions!F20</f>
        <v>-0.04</v>
      </c>
      <c r="C27" s="329" t="str">
        <f t="shared" si="2"/>
        <v>Worst Case</v>
      </c>
      <c r="D27" s="330"/>
      <c r="E27" s="330"/>
      <c r="G27" s="358">
        <f>G25*(1+$A27)</f>
        <v>768</v>
      </c>
      <c r="H27" s="358">
        <f>H25*(1+$A27)</f>
        <v>696</v>
      </c>
      <c r="I27" s="358">
        <f>I25*(1+$A27)</f>
        <v>792</v>
      </c>
      <c r="J27" s="358">
        <f>J25*(1+$A27)</f>
        <v>768</v>
      </c>
      <c r="K27" s="358">
        <f>K25*(1+$A27)</f>
        <v>720</v>
      </c>
      <c r="L27" s="374"/>
      <c r="M27" s="366"/>
    </row>
    <row r="28" spans="1:13">
      <c r="C28" s="329"/>
      <c r="D28" s="330"/>
      <c r="E28" s="330"/>
      <c r="G28" s="251"/>
      <c r="H28" s="251"/>
      <c r="I28" s="251"/>
      <c r="J28" s="251"/>
      <c r="K28" s="375"/>
      <c r="L28" s="374"/>
    </row>
    <row r="29" spans="1:13">
      <c r="C29" s="329"/>
      <c r="D29" s="330"/>
      <c r="E29" s="330"/>
      <c r="G29" s="251"/>
      <c r="H29" s="251"/>
      <c r="I29" s="251"/>
      <c r="J29" s="251"/>
      <c r="K29" s="375"/>
      <c r="L29" s="374"/>
    </row>
    <row r="30" spans="1:13" ht="16.2" customHeight="1">
      <c r="B30" s="326" t="s">
        <v>91</v>
      </c>
      <c r="D30" s="327"/>
      <c r="E30" s="327"/>
      <c r="G30" s="344">
        <f>CHOOSE($D$6,G32,G33,G34)</f>
        <v>0.05</v>
      </c>
      <c r="H30" s="345">
        <f t="shared" ref="H30:K30" si="3">CHOOSE($D$6,H32,H33,H34)</f>
        <v>0.04</v>
      </c>
      <c r="I30" s="345">
        <f t="shared" si="3"/>
        <v>0.04</v>
      </c>
      <c r="J30" s="345">
        <f t="shared" si="3"/>
        <v>0.04</v>
      </c>
      <c r="K30" s="367">
        <f t="shared" si="3"/>
        <v>0.04</v>
      </c>
    </row>
    <row r="31" spans="1:13" ht="4.3499999999999996" customHeight="1">
      <c r="B31" s="328"/>
      <c r="D31" s="327"/>
      <c r="E31" s="327"/>
      <c r="G31" s="166"/>
      <c r="H31" s="71"/>
      <c r="I31" s="71"/>
      <c r="J31" s="71"/>
      <c r="K31" s="71"/>
    </row>
    <row r="32" spans="1:13">
      <c r="B32" s="328"/>
      <c r="C32" s="305" t="str">
        <f>C14</f>
        <v>Base Case</v>
      </c>
      <c r="D32" s="327"/>
      <c r="E32" s="327"/>
      <c r="G32" s="359">
        <v>0.05</v>
      </c>
      <c r="H32" s="360">
        <v>0.04</v>
      </c>
      <c r="I32" s="360">
        <v>0.04</v>
      </c>
      <c r="J32" s="360">
        <v>0.04</v>
      </c>
      <c r="K32" s="376">
        <v>0.04</v>
      </c>
    </row>
    <row r="33" spans="2:12">
      <c r="B33" s="328"/>
      <c r="C33" s="305" t="str">
        <f>C15</f>
        <v>Best Case</v>
      </c>
      <c r="D33" s="327"/>
      <c r="E33" s="327"/>
      <c r="G33" s="361">
        <v>0.05</v>
      </c>
      <c r="H33" s="362">
        <v>0.04</v>
      </c>
      <c r="I33" s="362">
        <v>0.05</v>
      </c>
      <c r="J33" s="362">
        <v>0.05</v>
      </c>
      <c r="K33" s="377">
        <v>0.04</v>
      </c>
    </row>
    <row r="34" spans="2:12">
      <c r="B34" s="328"/>
      <c r="C34" s="305" t="str">
        <f>C16</f>
        <v>Worst Case</v>
      </c>
      <c r="D34" s="327"/>
      <c r="E34" s="327"/>
      <c r="G34" s="363">
        <v>0.04</v>
      </c>
      <c r="H34" s="364">
        <v>0.04</v>
      </c>
      <c r="I34" s="364">
        <v>0.03</v>
      </c>
      <c r="J34" s="364">
        <v>0.03</v>
      </c>
      <c r="K34" s="378">
        <v>0.02</v>
      </c>
    </row>
    <row r="35" spans="2:12">
      <c r="C35" s="329"/>
      <c r="D35" s="330"/>
      <c r="E35" s="330"/>
      <c r="G35" s="251"/>
      <c r="H35" s="251"/>
      <c r="I35" s="251"/>
      <c r="J35" s="251"/>
      <c r="K35" s="375"/>
      <c r="L35" s="374"/>
    </row>
    <row r="36" spans="2:12">
      <c r="B36" s="336"/>
      <c r="C36" s="336"/>
      <c r="D36" s="337"/>
      <c r="E36" s="337"/>
      <c r="F36" s="336"/>
      <c r="G36" s="336"/>
      <c r="H36" s="336"/>
      <c r="I36" s="336"/>
      <c r="J36" s="336"/>
      <c r="K36" s="336"/>
    </row>
    <row r="39" spans="2:12">
      <c r="C39" s="318"/>
      <c r="D39" s="327"/>
      <c r="E39" s="327"/>
      <c r="G39" s="365"/>
    </row>
    <row r="40" spans="2:12">
      <c r="D40" s="330"/>
      <c r="E40" s="330"/>
      <c r="H40" s="366"/>
    </row>
    <row r="41" spans="2:12">
      <c r="D41" s="330"/>
      <c r="E41" s="330"/>
    </row>
    <row r="42" spans="2:12">
      <c r="G42" s="365"/>
    </row>
  </sheetData>
  <sheetProtection formatCells="0" formatColumns="0" formatRows="0" insertColumns="0" insertRows="0"/>
  <conditionalFormatting sqref="J348:M352">
    <cfRule type="cellIs" dxfId="1" priority="1" stopIfTrue="1" operator="greaterThan">
      <formula>330</formula>
    </cfRule>
  </conditionalFormatting>
  <dataValidations count="1">
    <dataValidation type="list" allowBlank="1" showInputMessage="1" showErrorMessage="1" sqref="M6 D9" xr:uid="{89AD4C0C-847C-4C91-9BE0-895596B67B7A}">
      <formula1>$C$14:$C$16</formula1>
    </dataValidation>
  </dataValidations>
  <printOptions horizontalCentered="1"/>
  <pageMargins left="0.11811023622047245" right="0.11811023622047245" top="0.11811023622047245" bottom="0.11811023622047245" header="0.11811023622047245" footer="0.11811023622047245"/>
  <pageSetup scale="95" orientation="landscape" blackAndWhite="1" r:id="rId1"/>
  <headerFooter alignWithMargins="0">
    <oddFooter>&amp;L&amp;Z&amp;F&amp;C&amp;P &amp;N&amp;R&amp;D&amp;T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rop Down 1">
              <controlPr defaultSize="0" autoLine="0" autoPict="0">
                <anchor moveWithCells="1">
                  <from>
                    <xdr:col>2</xdr:col>
                    <xdr:colOff>1226820</xdr:colOff>
                    <xdr:row>4</xdr:row>
                    <xdr:rowOff>60960</xdr:rowOff>
                  </from>
                  <to>
                    <xdr:col>5</xdr:col>
                    <xdr:colOff>259080</xdr:colOff>
                    <xdr:row>6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I368"/>
  <sheetViews>
    <sheetView showGridLines="0" topLeftCell="A158" zoomScaleSheetLayoutView="90" workbookViewId="0">
      <selection activeCell="C184" sqref="C184"/>
    </sheetView>
  </sheetViews>
  <sheetFormatPr baseColWidth="10" defaultColWidth="9.44140625" defaultRowHeight="13.2"/>
  <cols>
    <col min="1" max="1" width="3.5546875" customWidth="1"/>
    <col min="2" max="2" width="1.88671875" customWidth="1"/>
    <col min="3" max="3" width="2.44140625" customWidth="1"/>
    <col min="4" max="4" width="11.44140625" customWidth="1"/>
    <col min="5" max="5" width="12.5546875" customWidth="1"/>
    <col min="6" max="6" width="10.44140625" style="6" customWidth="1"/>
    <col min="7" max="7" width="1.88671875" customWidth="1"/>
    <col min="8" max="10" width="10.6640625" customWidth="1"/>
    <col min="11" max="11" width="12.21875" bestFit="1" customWidth="1"/>
    <col min="12" max="15" width="10.6640625" customWidth="1"/>
  </cols>
  <sheetData>
    <row r="1" spans="1:15" ht="12.75" customHeight="1">
      <c r="A1" s="7"/>
      <c r="B1" s="8"/>
      <c r="C1" s="9"/>
      <c r="D1" s="9"/>
      <c r="E1" s="9"/>
      <c r="F1" s="31"/>
      <c r="G1" s="9"/>
      <c r="H1" s="9"/>
      <c r="I1" s="9"/>
      <c r="J1" s="9"/>
      <c r="K1" s="9"/>
      <c r="L1" s="9"/>
      <c r="M1" s="9"/>
      <c r="N1" s="9"/>
      <c r="O1" s="97" t="str">
        <f>"Currently Running : "&amp;CHOOSE(Scenarios!$D$6,Scenarios!C14,Scenarios!C15,Scenarios!C16)&amp;" Scenario"</f>
        <v>Currently Running : Base Case Scenario</v>
      </c>
    </row>
    <row r="2" spans="1:15" ht="22.8">
      <c r="A2" s="10"/>
      <c r="B2" s="11" t="str">
        <f>Scenarios!B1</f>
        <v>Blu Containers Company</v>
      </c>
      <c r="C2" s="9"/>
      <c r="D2" s="9"/>
      <c r="E2" s="9"/>
      <c r="F2" s="31"/>
      <c r="G2" s="9"/>
      <c r="H2" s="9"/>
      <c r="I2" s="9"/>
      <c r="J2" s="9"/>
      <c r="K2" s="9"/>
      <c r="L2" s="9"/>
      <c r="M2" s="9"/>
      <c r="N2" s="9"/>
      <c r="O2" s="9"/>
    </row>
    <row r="3" spans="1:15" ht="17.399999999999999">
      <c r="A3" s="12"/>
      <c r="B3" s="13" t="s">
        <v>92</v>
      </c>
      <c r="C3" s="14"/>
      <c r="D3" s="14"/>
      <c r="E3" s="14"/>
      <c r="F3" s="32"/>
      <c r="G3" s="14"/>
      <c r="H3" s="14"/>
      <c r="I3" s="14"/>
      <c r="J3" s="14"/>
      <c r="K3" s="14"/>
      <c r="L3" s="14"/>
      <c r="M3" s="14"/>
      <c r="N3" s="14"/>
      <c r="O3" s="14"/>
    </row>
    <row r="4" spans="1:15" ht="3" customHeight="1">
      <c r="A4" s="12"/>
      <c r="B4" s="15"/>
      <c r="C4" s="16"/>
      <c r="D4" s="16"/>
      <c r="E4" s="16"/>
      <c r="F4" s="33"/>
      <c r="G4" s="16"/>
      <c r="H4" s="16"/>
      <c r="I4" s="16"/>
      <c r="J4" s="16"/>
      <c r="K4" s="16"/>
      <c r="L4" s="16"/>
      <c r="M4" s="16"/>
      <c r="N4" s="16"/>
      <c r="O4" s="16"/>
    </row>
    <row r="5" spans="1:15" ht="12.75" customHeight="1">
      <c r="A5" s="13"/>
      <c r="B5" s="14"/>
      <c r="C5" s="14"/>
      <c r="D5" s="14"/>
      <c r="E5" s="14"/>
      <c r="F5" s="32"/>
      <c r="G5" s="14"/>
      <c r="H5" s="14"/>
      <c r="I5" s="14"/>
      <c r="J5" s="14"/>
      <c r="K5" s="14"/>
      <c r="L5" s="14"/>
      <c r="M5" s="14"/>
      <c r="N5" s="14"/>
      <c r="O5" s="14"/>
    </row>
    <row r="6" spans="1:15">
      <c r="G6" s="34"/>
      <c r="H6" s="567" t="s">
        <v>210</v>
      </c>
      <c r="I6" s="9"/>
      <c r="J6" s="9"/>
      <c r="K6" s="69" t="s">
        <v>7</v>
      </c>
      <c r="L6" s="70"/>
      <c r="M6" s="70"/>
      <c r="N6" s="70"/>
      <c r="O6" s="70"/>
    </row>
    <row r="7" spans="1:15">
      <c r="F7" s="565" t="s">
        <v>209</v>
      </c>
      <c r="G7" s="35"/>
      <c r="H7" s="566">
        <f>I7-1</f>
        <v>2020</v>
      </c>
      <c r="I7" s="566">
        <f>J7-1</f>
        <v>2021</v>
      </c>
      <c r="J7" s="566">
        <f>K7-1</f>
        <v>2022</v>
      </c>
      <c r="K7" s="21">
        <f>Scenarios!G6</f>
        <v>2023</v>
      </c>
      <c r="L7" s="21">
        <f>Scenarios!H6</f>
        <v>2024</v>
      </c>
      <c r="M7" s="21">
        <f>Scenarios!I6</f>
        <v>2025</v>
      </c>
      <c r="N7" s="21">
        <f>Scenarios!J6</f>
        <v>2026</v>
      </c>
      <c r="O7" s="21">
        <f>Scenarios!K6</f>
        <v>2027</v>
      </c>
    </row>
    <row r="8" spans="1:15" ht="12.75" customHeight="1">
      <c r="F8" s="557"/>
      <c r="H8" s="37"/>
      <c r="I8" s="37"/>
      <c r="J8" s="37"/>
    </row>
    <row r="9" spans="1:15">
      <c r="B9" s="554" t="s">
        <v>93</v>
      </c>
      <c r="F9" s="558"/>
      <c r="H9" s="37"/>
      <c r="I9" s="37"/>
      <c r="J9" s="37"/>
      <c r="K9" s="71"/>
    </row>
    <row r="10" spans="1:15">
      <c r="C10" s="549" t="s">
        <v>94</v>
      </c>
      <c r="F10" s="559" t="s">
        <v>95</v>
      </c>
      <c r="H10" s="39"/>
      <c r="I10" s="39"/>
      <c r="J10" s="45">
        <v>694.4</v>
      </c>
      <c r="K10" s="72">
        <f>Scenarios!G23</f>
        <v>800</v>
      </c>
      <c r="L10" s="72">
        <f>Scenarios!H23</f>
        <v>725</v>
      </c>
      <c r="M10" s="72">
        <f>Scenarios!I23</f>
        <v>825</v>
      </c>
      <c r="N10" s="72">
        <f>Scenarios!J23</f>
        <v>800</v>
      </c>
      <c r="O10" s="72">
        <f>Scenarios!K23</f>
        <v>750</v>
      </c>
    </row>
    <row r="11" spans="1:15">
      <c r="C11" t="s">
        <v>84</v>
      </c>
      <c r="F11" s="558" t="s">
        <v>14</v>
      </c>
      <c r="H11" s="40"/>
      <c r="I11" s="73"/>
      <c r="J11" s="73"/>
      <c r="K11" s="74">
        <f>Scenarios!G12</f>
        <v>0.02</v>
      </c>
      <c r="L11" s="74">
        <f>Scenarios!H12</f>
        <v>0.02</v>
      </c>
      <c r="M11" s="74">
        <f>Scenarios!I12</f>
        <v>0.02</v>
      </c>
      <c r="N11" s="74">
        <f>Scenarios!J12</f>
        <v>2.5000000000000001E-2</v>
      </c>
      <c r="O11" s="74">
        <f>Scenarios!K12</f>
        <v>2.5000000000000001E-2</v>
      </c>
    </row>
    <row r="12" spans="1:15">
      <c r="C12" s="18" t="s">
        <v>96</v>
      </c>
      <c r="F12" s="559" t="s">
        <v>95</v>
      </c>
      <c r="H12" s="41"/>
      <c r="I12" s="41"/>
      <c r="J12" s="75">
        <v>100</v>
      </c>
      <c r="K12" s="76">
        <f>J12*(1+K11)</f>
        <v>102</v>
      </c>
      <c r="L12" s="76">
        <f t="shared" ref="L12:O12" si="0">K12*(1+L11)</f>
        <v>104.04</v>
      </c>
      <c r="M12" s="76">
        <f t="shared" si="0"/>
        <v>106.1208</v>
      </c>
      <c r="N12" s="76">
        <f t="shared" si="0"/>
        <v>108.77381999999999</v>
      </c>
      <c r="O12" s="76">
        <f t="shared" si="0"/>
        <v>111.49316549999998</v>
      </c>
    </row>
    <row r="13" spans="1:15">
      <c r="C13" s="17" t="s">
        <v>97</v>
      </c>
      <c r="F13" s="560" t="s">
        <v>95</v>
      </c>
      <c r="H13" s="42"/>
      <c r="I13" s="42"/>
      <c r="J13" s="77">
        <f t="shared" ref="J13" si="1">J10-J12</f>
        <v>594.4</v>
      </c>
      <c r="K13" s="78">
        <f>K10-K12</f>
        <v>698</v>
      </c>
      <c r="L13" s="78">
        <f t="shared" ref="L13:O13" si="2">L10-L12</f>
        <v>620.96</v>
      </c>
      <c r="M13" s="78">
        <f t="shared" si="2"/>
        <v>718.87919999999997</v>
      </c>
      <c r="N13" s="78">
        <f t="shared" si="2"/>
        <v>691.22618</v>
      </c>
      <c r="O13" s="78">
        <f t="shared" si="2"/>
        <v>638.50683449999997</v>
      </c>
    </row>
    <row r="14" spans="1:15">
      <c r="B14" s="19"/>
      <c r="C14" s="20"/>
      <c r="D14" s="19"/>
      <c r="E14" s="19"/>
      <c r="F14" s="561"/>
      <c r="G14" s="19"/>
      <c r="H14" s="43"/>
      <c r="I14" s="43"/>
      <c r="J14" s="43"/>
      <c r="K14" s="79"/>
      <c r="L14" s="79"/>
      <c r="M14" s="79"/>
      <c r="N14" s="79"/>
      <c r="O14" s="79"/>
    </row>
    <row r="15" spans="1:15">
      <c r="C15" s="17"/>
      <c r="F15" s="562"/>
      <c r="H15" s="44"/>
      <c r="I15" s="44"/>
      <c r="J15" s="44"/>
      <c r="K15" s="48"/>
      <c r="L15" s="48"/>
      <c r="M15" s="48"/>
      <c r="N15" s="48"/>
      <c r="O15" s="48"/>
    </row>
    <row r="16" spans="1:15">
      <c r="B16" s="17" t="s">
        <v>98</v>
      </c>
      <c r="F16" s="558"/>
    </row>
    <row r="17" spans="1:15">
      <c r="B17" s="17"/>
      <c r="C17" t="s">
        <v>99</v>
      </c>
      <c r="F17" s="558" t="s">
        <v>100</v>
      </c>
      <c r="H17" s="45"/>
      <c r="I17" s="45"/>
      <c r="J17" s="45"/>
      <c r="K17" s="72">
        <f>Assumptions!N17</f>
        <v>420</v>
      </c>
      <c r="L17" s="80">
        <f>K17</f>
        <v>420</v>
      </c>
      <c r="M17" s="80">
        <f>L17</f>
        <v>420</v>
      </c>
      <c r="N17" s="80">
        <f>M17</f>
        <v>420</v>
      </c>
      <c r="O17" s="80">
        <f>N17</f>
        <v>420</v>
      </c>
    </row>
    <row r="18" spans="1:15">
      <c r="B18" s="17"/>
      <c r="F18" s="558"/>
    </row>
    <row r="19" spans="1:15">
      <c r="C19" t="s">
        <v>91</v>
      </c>
      <c r="F19" s="558" t="s">
        <v>14</v>
      </c>
      <c r="H19" s="40"/>
      <c r="I19" s="73"/>
      <c r="J19" s="81"/>
      <c r="K19" s="82">
        <f>Scenarios!G30</f>
        <v>0.05</v>
      </c>
      <c r="L19" s="82">
        <f>Scenarios!H30</f>
        <v>0.04</v>
      </c>
      <c r="M19" s="82">
        <f>Scenarios!I30</f>
        <v>0.04</v>
      </c>
      <c r="N19" s="82">
        <f>Scenarios!J30</f>
        <v>0.04</v>
      </c>
      <c r="O19" s="82">
        <f>Scenarios!K30</f>
        <v>0.04</v>
      </c>
    </row>
    <row r="20" spans="1:15">
      <c r="C20" s="21" t="s">
        <v>101</v>
      </c>
      <c r="F20" s="563" t="s">
        <v>100</v>
      </c>
      <c r="H20" s="47"/>
      <c r="I20" s="47"/>
      <c r="J20" s="77">
        <f>J26*1000/J10</f>
        <v>344.4700460829493</v>
      </c>
      <c r="K20" s="78">
        <f>MIN(J20*(K19+1),K17)</f>
        <v>361.69354838709677</v>
      </c>
      <c r="L20" s="78">
        <f t="shared" ref="L20:O20" si="3">MIN(K20*(L19+1),L17)</f>
        <v>376.16129032258067</v>
      </c>
      <c r="M20" s="78">
        <f t="shared" si="3"/>
        <v>391.20774193548391</v>
      </c>
      <c r="N20" s="78">
        <f t="shared" si="3"/>
        <v>406.85605161290329</v>
      </c>
      <c r="O20" s="78">
        <f t="shared" si="3"/>
        <v>420</v>
      </c>
    </row>
    <row r="21" spans="1:15" ht="6" customHeight="1">
      <c r="C21" s="21"/>
      <c r="F21" s="563"/>
      <c r="H21" s="48"/>
      <c r="I21" s="48"/>
      <c r="J21" s="48"/>
      <c r="K21" s="48"/>
      <c r="L21" s="48"/>
      <c r="M21" s="48"/>
      <c r="N21" s="48"/>
      <c r="O21" s="48"/>
    </row>
    <row r="22" spans="1:15">
      <c r="C22" t="s">
        <v>102</v>
      </c>
      <c r="F22" s="563"/>
      <c r="H22" s="49"/>
      <c r="I22" s="49"/>
      <c r="J22" s="49"/>
      <c r="K22" s="83">
        <f>K20/K17</f>
        <v>0.86117511520737322</v>
      </c>
      <c r="L22" s="83">
        <f t="shared" ref="L22:O22" si="4">L20/L17</f>
        <v>0.8956221198156683</v>
      </c>
      <c r="M22" s="83">
        <f t="shared" si="4"/>
        <v>0.93144700460829499</v>
      </c>
      <c r="N22" s="83">
        <f t="shared" si="4"/>
        <v>0.96870488479262684</v>
      </c>
      <c r="O22" s="83">
        <f t="shared" si="4"/>
        <v>1</v>
      </c>
    </row>
    <row r="23" spans="1:15" ht="12.75" customHeight="1">
      <c r="B23" s="19"/>
      <c r="C23" s="19"/>
      <c r="D23" s="19"/>
      <c r="E23" s="19"/>
      <c r="F23" s="564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2.75" customHeight="1">
      <c r="F24" s="558"/>
    </row>
    <row r="25" spans="1:15">
      <c r="B25" s="21" t="s">
        <v>103</v>
      </c>
      <c r="F25" s="558"/>
    </row>
    <row r="26" spans="1:15">
      <c r="A26" s="22"/>
      <c r="C26" s="549" t="s">
        <v>104</v>
      </c>
      <c r="F26" s="558" t="s">
        <v>105</v>
      </c>
      <c r="H26" s="51"/>
      <c r="I26" s="51"/>
      <c r="J26" s="84">
        <f>J83</f>
        <v>239.2</v>
      </c>
      <c r="K26" s="85">
        <f>(K10*K20)/1000</f>
        <v>289.35483870967738</v>
      </c>
      <c r="L26" s="85">
        <f t="shared" ref="L26:O26" si="5">(L10*L20)/1000</f>
        <v>272.716935483871</v>
      </c>
      <c r="M26" s="85">
        <f t="shared" si="5"/>
        <v>322.74638709677424</v>
      </c>
      <c r="N26" s="85">
        <f t="shared" si="5"/>
        <v>325.48484129032266</v>
      </c>
      <c r="O26" s="85">
        <f t="shared" si="5"/>
        <v>315</v>
      </c>
    </row>
    <row r="27" spans="1:15">
      <c r="C27" s="18" t="s">
        <v>96</v>
      </c>
      <c r="F27" s="558" t="s">
        <v>105</v>
      </c>
      <c r="H27" s="51"/>
      <c r="I27" s="51"/>
      <c r="J27" s="84">
        <f>J84</f>
        <v>34.4</v>
      </c>
      <c r="K27" s="85">
        <f>(K12*K20)/1000</f>
        <v>36.892741935483869</v>
      </c>
      <c r="L27" s="85">
        <f t="shared" ref="L27:O27" si="6">(L12*L20)/1000</f>
        <v>39.135820645161296</v>
      </c>
      <c r="M27" s="85">
        <f t="shared" si="6"/>
        <v>41.515278540387101</v>
      </c>
      <c r="N27" s="85">
        <f t="shared" si="6"/>
        <v>44.255286924052648</v>
      </c>
      <c r="O27" s="85">
        <f t="shared" si="6"/>
        <v>46.827129509999992</v>
      </c>
    </row>
    <row r="28" spans="1:15">
      <c r="C28" s="21" t="s">
        <v>11</v>
      </c>
      <c r="F28" s="563" t="s">
        <v>105</v>
      </c>
      <c r="H28" s="52"/>
      <c r="I28" s="52"/>
      <c r="J28" s="86">
        <f t="shared" ref="J28:O28" si="7">J26-J27</f>
        <v>204.79999999999998</v>
      </c>
      <c r="K28" s="87">
        <f t="shared" si="7"/>
        <v>252.46209677419353</v>
      </c>
      <c r="L28" s="87">
        <f t="shared" si="7"/>
        <v>233.58111483870971</v>
      </c>
      <c r="M28" s="87">
        <f t="shared" si="7"/>
        <v>281.23110855638714</v>
      </c>
      <c r="N28" s="87">
        <f t="shared" si="7"/>
        <v>281.22955436627001</v>
      </c>
      <c r="O28" s="87">
        <f t="shared" si="7"/>
        <v>268.17287049000004</v>
      </c>
    </row>
    <row r="29" spans="1:15" ht="12.75" customHeight="1">
      <c r="B29" s="23"/>
      <c r="C29" s="23"/>
      <c r="D29" s="23"/>
      <c r="E29" s="23"/>
      <c r="F29" s="53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12.75" customHeight="1"/>
    <row r="31" spans="1:15" ht="12.75" customHeight="1">
      <c r="A31" s="10"/>
      <c r="B31" s="11"/>
      <c r="C31" s="9"/>
      <c r="D31" s="9"/>
      <c r="E31" s="9"/>
      <c r="F31" s="31"/>
      <c r="G31" s="9"/>
      <c r="H31" s="9"/>
      <c r="I31" s="9"/>
      <c r="J31" s="9"/>
      <c r="K31" s="9"/>
      <c r="L31" s="9"/>
      <c r="M31" s="9"/>
      <c r="N31" s="9"/>
      <c r="O31" s="98" t="str">
        <f>$O$1</f>
        <v>Currently Running : Base Case Scenario</v>
      </c>
    </row>
    <row r="32" spans="1:15" ht="22.8">
      <c r="A32" s="10"/>
      <c r="B32" s="11" t="str">
        <f>B$2</f>
        <v>Blu Containers Company</v>
      </c>
      <c r="C32" s="9"/>
      <c r="D32" s="9"/>
      <c r="E32" s="9"/>
      <c r="F32" s="31"/>
      <c r="G32" s="9"/>
      <c r="H32" s="9"/>
      <c r="I32" s="9"/>
      <c r="J32" s="9"/>
      <c r="K32" s="9"/>
      <c r="L32" s="9"/>
      <c r="M32" s="9"/>
      <c r="N32" s="9"/>
      <c r="O32" s="9"/>
    </row>
    <row r="33" spans="1:15" ht="17.399999999999999">
      <c r="A33" s="12"/>
      <c r="B33" s="13" t="s">
        <v>106</v>
      </c>
      <c r="C33" s="14"/>
      <c r="D33" s="14"/>
      <c r="E33" s="14"/>
      <c r="F33" s="32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3" customHeight="1">
      <c r="A34" s="12"/>
      <c r="B34" s="15"/>
      <c r="C34" s="16"/>
      <c r="D34" s="16"/>
      <c r="E34" s="16"/>
      <c r="F34" s="33"/>
      <c r="G34" s="16"/>
      <c r="H34" s="16"/>
      <c r="I34" s="16"/>
      <c r="J34" s="16"/>
      <c r="K34" s="16"/>
      <c r="L34" s="16"/>
      <c r="M34" s="16"/>
      <c r="N34" s="16"/>
      <c r="O34" s="16"/>
    </row>
    <row r="35" spans="1:15" ht="12.75" customHeight="1">
      <c r="A35" s="13"/>
      <c r="B35" s="14"/>
      <c r="C35" s="14"/>
      <c r="D35" s="14"/>
      <c r="E35" s="14"/>
      <c r="F35" s="32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G36" s="34"/>
      <c r="K36" s="69" t="s">
        <v>7</v>
      </c>
      <c r="L36" s="70"/>
      <c r="M36" s="70"/>
      <c r="N36" s="70"/>
      <c r="O36" s="70"/>
    </row>
    <row r="37" spans="1:15">
      <c r="G37" s="35"/>
      <c r="H37" s="36">
        <f t="shared" ref="H37:O37" si="8">H$7</f>
        <v>2020</v>
      </c>
      <c r="I37" s="36">
        <f t="shared" si="8"/>
        <v>2021</v>
      </c>
      <c r="J37" s="36">
        <f t="shared" si="8"/>
        <v>2022</v>
      </c>
      <c r="K37" s="88">
        <f t="shared" si="8"/>
        <v>2023</v>
      </c>
      <c r="L37" s="88">
        <f t="shared" si="8"/>
        <v>2024</v>
      </c>
      <c r="M37" s="88">
        <f t="shared" si="8"/>
        <v>2025</v>
      </c>
      <c r="N37" s="88">
        <f t="shared" si="8"/>
        <v>2026</v>
      </c>
      <c r="O37" s="88">
        <f t="shared" si="8"/>
        <v>2027</v>
      </c>
    </row>
    <row r="38" spans="1:15" ht="12.9" customHeight="1">
      <c r="G38" s="35"/>
      <c r="H38" s="35"/>
      <c r="I38" s="35"/>
      <c r="J38" s="35"/>
      <c r="K38" s="35"/>
      <c r="L38" s="35"/>
      <c r="M38" s="35"/>
      <c r="N38" s="35"/>
      <c r="O38" s="35"/>
    </row>
    <row r="39" spans="1:15" ht="12.9" customHeight="1">
      <c r="B39" s="24" t="s">
        <v>101</v>
      </c>
      <c r="C39" s="25"/>
      <c r="D39" s="25"/>
      <c r="E39" s="25"/>
      <c r="F39" s="54" t="s">
        <v>100</v>
      </c>
      <c r="G39" s="55"/>
      <c r="H39" s="56"/>
      <c r="I39" s="56"/>
      <c r="J39" s="56">
        <f t="shared" ref="J39:O39" si="9">J20</f>
        <v>344.4700460829493</v>
      </c>
      <c r="K39" s="56">
        <f t="shared" si="9"/>
        <v>361.69354838709677</v>
      </c>
      <c r="L39" s="56">
        <f t="shared" si="9"/>
        <v>376.16129032258067</v>
      </c>
      <c r="M39" s="56">
        <f t="shared" si="9"/>
        <v>391.20774193548391</v>
      </c>
      <c r="N39" s="56">
        <f t="shared" si="9"/>
        <v>406.85605161290329</v>
      </c>
      <c r="O39" s="99">
        <f t="shared" si="9"/>
        <v>420</v>
      </c>
    </row>
    <row r="40" spans="1:15">
      <c r="B40" s="26" t="s">
        <v>84</v>
      </c>
      <c r="C40" s="19"/>
      <c r="D40" s="19"/>
      <c r="E40" s="19"/>
      <c r="F40" s="50" t="s">
        <v>14</v>
      </c>
      <c r="G40" s="57"/>
      <c r="H40" s="58"/>
      <c r="I40" s="58"/>
      <c r="J40" s="58"/>
      <c r="K40" s="58"/>
      <c r="L40" s="89">
        <f>L11</f>
        <v>0.02</v>
      </c>
      <c r="M40" s="89">
        <f>M11</f>
        <v>0.02</v>
      </c>
      <c r="N40" s="89">
        <f>N11</f>
        <v>2.5000000000000001E-2</v>
      </c>
      <c r="O40" s="100">
        <f>O11</f>
        <v>2.5000000000000001E-2</v>
      </c>
    </row>
    <row r="41" spans="1:15" ht="12.9" customHeight="1">
      <c r="B41" s="27"/>
      <c r="G41" s="35"/>
      <c r="H41" s="35"/>
      <c r="I41" s="35"/>
      <c r="J41" s="35"/>
      <c r="K41" s="35"/>
      <c r="L41" s="35"/>
      <c r="M41" s="35"/>
      <c r="N41" s="35"/>
      <c r="O41" s="35"/>
    </row>
    <row r="42" spans="1:15" ht="12.75" customHeight="1">
      <c r="A42" s="569">
        <v>1</v>
      </c>
      <c r="B42" s="28" t="s">
        <v>107</v>
      </c>
      <c r="G42" s="35"/>
      <c r="H42" s="35"/>
      <c r="I42" s="35"/>
      <c r="J42" s="35"/>
      <c r="K42" s="35"/>
      <c r="M42" s="35"/>
      <c r="N42" s="35"/>
      <c r="O42" s="35"/>
    </row>
    <row r="43" spans="1:15">
      <c r="A43" s="22"/>
      <c r="C43" s="21" t="s">
        <v>108</v>
      </c>
    </row>
    <row r="44" spans="1:15">
      <c r="D44" s="18" t="str">
        <f>Assumptions!C27</f>
        <v>Raw Materials</v>
      </c>
      <c r="F44" s="6" t="s">
        <v>95</v>
      </c>
      <c r="H44" s="59"/>
      <c r="I44" s="59"/>
      <c r="J44" s="59"/>
      <c r="K44" s="90">
        <f>Assumptions!E27</f>
        <v>226</v>
      </c>
      <c r="L44" s="91">
        <f>K44*(1+L40)</f>
        <v>230.52</v>
      </c>
      <c r="M44" s="91">
        <f t="shared" ref="M44:O44" si="10">L44*(1+M40)</f>
        <v>235.13040000000001</v>
      </c>
      <c r="N44" s="91">
        <f t="shared" si="10"/>
        <v>241.00865999999999</v>
      </c>
      <c r="O44" s="91">
        <f t="shared" si="10"/>
        <v>247.03387649999996</v>
      </c>
    </row>
    <row r="45" spans="1:15">
      <c r="D45" s="18" t="str">
        <f>Assumptions!C28</f>
        <v>Utilities</v>
      </c>
      <c r="F45" s="6" t="s">
        <v>95</v>
      </c>
      <c r="H45" s="59"/>
      <c r="I45" s="59"/>
      <c r="J45" s="59"/>
      <c r="K45" s="92">
        <f>Assumptions!E28</f>
        <v>66.2</v>
      </c>
      <c r="L45" s="93">
        <f>K45*(1+L40)</f>
        <v>67.524000000000001</v>
      </c>
      <c r="M45" s="93">
        <f t="shared" ref="M45:O45" si="11">L45*(1+M40)</f>
        <v>68.874480000000005</v>
      </c>
      <c r="N45" s="93">
        <f t="shared" si="11"/>
        <v>70.596341999999993</v>
      </c>
      <c r="O45" s="93">
        <f t="shared" si="11"/>
        <v>72.36125054999998</v>
      </c>
    </row>
    <row r="46" spans="1:15">
      <c r="D46" s="21" t="s">
        <v>109</v>
      </c>
      <c r="F46" s="60" t="s">
        <v>95</v>
      </c>
      <c r="H46" s="61"/>
      <c r="I46" s="61"/>
      <c r="J46" s="61"/>
      <c r="K46" s="94">
        <f>K44+K45</f>
        <v>292.2</v>
      </c>
      <c r="L46" s="94">
        <f t="shared" ref="L46:O46" si="12">L44+L45</f>
        <v>298.04399999999998</v>
      </c>
      <c r="M46" s="94">
        <f t="shared" si="12"/>
        <v>304.00488000000001</v>
      </c>
      <c r="N46" s="94">
        <f t="shared" si="12"/>
        <v>311.60500200000001</v>
      </c>
      <c r="O46" s="94">
        <f t="shared" si="12"/>
        <v>319.39512704999993</v>
      </c>
    </row>
    <row r="47" spans="1:15" ht="6" customHeight="1">
      <c r="D47" s="18"/>
      <c r="H47" s="62"/>
      <c r="I47" s="62"/>
      <c r="J47" s="62"/>
      <c r="K47" s="62"/>
      <c r="L47" s="62"/>
      <c r="M47" s="62"/>
      <c r="N47" s="62"/>
      <c r="O47" s="62"/>
    </row>
    <row r="48" spans="1:15" ht="12.75" customHeight="1">
      <c r="A48" s="569">
        <v>4</v>
      </c>
      <c r="B48" s="569"/>
      <c r="C48" s="17" t="s">
        <v>110</v>
      </c>
      <c r="D48" s="18"/>
      <c r="H48" s="63"/>
      <c r="I48" s="63"/>
      <c r="J48" s="63"/>
      <c r="K48" s="63"/>
      <c r="L48" s="95"/>
      <c r="M48" s="95"/>
      <c r="N48" s="95"/>
      <c r="O48" s="95"/>
    </row>
    <row r="49" spans="1:16" ht="12.75" customHeight="1">
      <c r="D49" s="18" t="str">
        <f>Assumptions!C29</f>
        <v>Rent</v>
      </c>
      <c r="F49" s="6" t="s">
        <v>95</v>
      </c>
      <c r="H49" s="64"/>
      <c r="I49" s="64"/>
      <c r="J49" s="64"/>
      <c r="K49" s="91">
        <f t="shared" ref="K49:L51" si="13">K64*1000/K$39</f>
        <v>64.972129319955414</v>
      </c>
      <c r="L49" s="91">
        <f t="shared" si="13"/>
        <v>63.722665294571648</v>
      </c>
      <c r="M49" s="91">
        <f t="shared" ref="M49:O51" si="14">M64*1000/M$39</f>
        <v>62.497229423522192</v>
      </c>
      <c r="N49" s="91">
        <f t="shared" si="14"/>
        <v>61.595827076067536</v>
      </c>
      <c r="O49" s="91">
        <f t="shared" si="14"/>
        <v>61.159883035714273</v>
      </c>
    </row>
    <row r="50" spans="1:16">
      <c r="D50" s="18" t="str">
        <f>Assumptions!C30</f>
        <v>Operating Labour</v>
      </c>
      <c r="F50" s="6" t="s">
        <v>95</v>
      </c>
      <c r="H50" s="64"/>
      <c r="I50" s="64"/>
      <c r="J50" s="64"/>
      <c r="K50" s="91">
        <f t="shared" si="13"/>
        <v>120.2675585284281</v>
      </c>
      <c r="L50" s="91">
        <f t="shared" si="13"/>
        <v>117.95472086441985</v>
      </c>
      <c r="M50" s="91">
        <f t="shared" si="14"/>
        <v>115.68636084779638</v>
      </c>
      <c r="N50" s="91">
        <f t="shared" si="14"/>
        <v>114.01780756633777</v>
      </c>
      <c r="O50" s="91">
        <f t="shared" si="14"/>
        <v>113.21084732142855</v>
      </c>
    </row>
    <row r="51" spans="1:16" ht="12.75" customHeight="1">
      <c r="D51" t="s">
        <v>52</v>
      </c>
      <c r="F51" s="6" t="s">
        <v>95</v>
      </c>
      <c r="H51" s="64"/>
      <c r="I51" s="64"/>
      <c r="J51" s="64"/>
      <c r="K51" s="93">
        <f t="shared" si="13"/>
        <v>5.5295429208472688</v>
      </c>
      <c r="L51" s="93">
        <f t="shared" si="13"/>
        <v>5.4232055569848212</v>
      </c>
      <c r="M51" s="93">
        <f t="shared" si="14"/>
        <v>5.3189131424274203</v>
      </c>
      <c r="N51" s="93">
        <f t="shared" si="14"/>
        <v>5.2421980490270235</v>
      </c>
      <c r="O51" s="93">
        <f t="shared" si="14"/>
        <v>5.2050964285714274</v>
      </c>
    </row>
    <row r="52" spans="1:16">
      <c r="D52" s="554" t="s">
        <v>111</v>
      </c>
      <c r="F52" s="60" t="s">
        <v>95</v>
      </c>
      <c r="H52" s="584" t="s">
        <v>246</v>
      </c>
      <c r="I52" s="583"/>
      <c r="J52" s="61"/>
      <c r="K52" s="94">
        <f>K49+K50+K51</f>
        <v>190.76923076923077</v>
      </c>
      <c r="L52" s="94">
        <f t="shared" ref="L52:O52" si="15">L49+L50+L51</f>
        <v>187.10059171597632</v>
      </c>
      <c r="M52" s="94">
        <f t="shared" si="15"/>
        <v>183.50250341374598</v>
      </c>
      <c r="N52" s="94">
        <f t="shared" si="15"/>
        <v>180.85583269143234</v>
      </c>
      <c r="O52" s="94">
        <f t="shared" si="15"/>
        <v>179.57582678571424</v>
      </c>
      <c r="P52" s="101"/>
    </row>
    <row r="53" spans="1:16" ht="6" customHeight="1">
      <c r="C53" s="21"/>
      <c r="F53" s="60"/>
      <c r="H53" s="65"/>
      <c r="I53" s="65"/>
      <c r="J53" s="65"/>
      <c r="K53" s="65"/>
      <c r="L53" s="65"/>
      <c r="M53" s="65"/>
      <c r="N53" s="65"/>
      <c r="O53" s="65"/>
      <c r="P53" s="101"/>
    </row>
    <row r="54" spans="1:16">
      <c r="C54" s="554" t="s">
        <v>112</v>
      </c>
      <c r="F54" s="60" t="s">
        <v>95</v>
      </c>
      <c r="H54" s="66"/>
      <c r="I54" s="66"/>
      <c r="J54" s="66"/>
      <c r="K54" s="96">
        <f>K52+K46</f>
        <v>482.96923076923076</v>
      </c>
      <c r="L54" s="96">
        <f t="shared" ref="L54:O54" si="16">L52+L46</f>
        <v>485.14459171597628</v>
      </c>
      <c r="M54" s="96">
        <f t="shared" si="16"/>
        <v>487.50738341374597</v>
      </c>
      <c r="N54" s="96">
        <f t="shared" si="16"/>
        <v>492.46083469143235</v>
      </c>
      <c r="O54" s="96">
        <f t="shared" si="16"/>
        <v>498.97095383571417</v>
      </c>
    </row>
    <row r="55" spans="1:16" ht="12.9" customHeight="1">
      <c r="B55" s="20"/>
      <c r="C55" s="29"/>
      <c r="D55" s="19"/>
      <c r="E55" s="19"/>
      <c r="F55" s="67"/>
      <c r="G55" s="68"/>
      <c r="H55" s="68"/>
      <c r="I55" s="68"/>
      <c r="J55" s="68"/>
      <c r="K55" s="68"/>
      <c r="L55" s="68"/>
      <c r="M55" s="68"/>
      <c r="N55" s="68"/>
      <c r="O55" s="68"/>
    </row>
    <row r="56" spans="1:16" ht="12.9" customHeight="1">
      <c r="B56" s="17"/>
      <c r="C56" s="21"/>
      <c r="F56" s="60"/>
      <c r="H56" s="65"/>
      <c r="I56" s="65"/>
      <c r="J56" s="65"/>
      <c r="K56" s="65"/>
      <c r="L56" s="65"/>
      <c r="M56" s="65"/>
      <c r="N56" s="65"/>
      <c r="O56" s="65"/>
    </row>
    <row r="57" spans="1:16">
      <c r="B57" s="28" t="s">
        <v>113</v>
      </c>
      <c r="C57" s="21"/>
      <c r="F57" s="60"/>
      <c r="H57" s="65"/>
      <c r="I57" s="65"/>
      <c r="J57" s="65"/>
      <c r="K57" s="65"/>
      <c r="L57" s="65"/>
      <c r="M57" s="65"/>
      <c r="N57" s="65"/>
      <c r="O57" s="65"/>
    </row>
    <row r="58" spans="1:16">
      <c r="A58" s="569">
        <v>2</v>
      </c>
      <c r="C58" s="21" t="s">
        <v>108</v>
      </c>
      <c r="F58" s="60"/>
      <c r="H58" s="65"/>
      <c r="I58" s="65"/>
      <c r="J58" s="65"/>
      <c r="K58" s="65"/>
      <c r="L58" s="65"/>
      <c r="M58" s="65"/>
      <c r="N58" s="65"/>
      <c r="O58" s="65"/>
    </row>
    <row r="59" spans="1:16">
      <c r="D59" s="18" t="str">
        <f>D44</f>
        <v>Raw Materials</v>
      </c>
      <c r="F59" s="6" t="s">
        <v>105</v>
      </c>
      <c r="H59" s="64"/>
      <c r="I59" s="64"/>
      <c r="J59" s="64"/>
      <c r="K59" s="91">
        <f>(K44*K$39)/1000</f>
        <v>81.742741935483863</v>
      </c>
      <c r="L59" s="91">
        <f t="shared" ref="L59:O59" si="17">(L44*L$39)/1000</f>
        <v>86.712700645161291</v>
      </c>
      <c r="M59" s="91">
        <f t="shared" si="17"/>
        <v>91.984832844387114</v>
      </c>
      <c r="N59" s="91">
        <f t="shared" si="17"/>
        <v>98.055831812116651</v>
      </c>
      <c r="O59" s="91">
        <f t="shared" si="17"/>
        <v>103.75422812999999</v>
      </c>
    </row>
    <row r="60" spans="1:16">
      <c r="D60" s="18" t="str">
        <f>D45</f>
        <v>Utilities</v>
      </c>
      <c r="F60" s="6" t="s">
        <v>105</v>
      </c>
      <c r="H60" s="64"/>
      <c r="I60" s="64"/>
      <c r="J60" s="64"/>
      <c r="K60" s="93">
        <f>(K45*K$39)/1000</f>
        <v>23.944112903225808</v>
      </c>
      <c r="L60" s="93">
        <f t="shared" ref="L60:O60" si="18">(L45*L$39)/1000</f>
        <v>25.399914967741939</v>
      </c>
      <c r="M60" s="93">
        <f t="shared" si="18"/>
        <v>26.944229797780647</v>
      </c>
      <c r="N60" s="93">
        <f t="shared" si="18"/>
        <v>28.722548964434168</v>
      </c>
      <c r="O60" s="93">
        <f t="shared" si="18"/>
        <v>30.391725230999992</v>
      </c>
    </row>
    <row r="61" spans="1:16" ht="12.75" customHeight="1">
      <c r="D61" s="21" t="s">
        <v>109</v>
      </c>
      <c r="F61" s="60" t="s">
        <v>105</v>
      </c>
      <c r="H61" s="61"/>
      <c r="I61" s="61"/>
      <c r="J61" s="61"/>
      <c r="K61" s="94">
        <f>K59+K60</f>
        <v>105.68685483870968</v>
      </c>
      <c r="L61" s="94">
        <f t="shared" ref="L61:O61" si="19">L59+L60</f>
        <v>112.11261561290323</v>
      </c>
      <c r="M61" s="94">
        <f t="shared" si="19"/>
        <v>118.92906264216776</v>
      </c>
      <c r="N61" s="94">
        <f t="shared" si="19"/>
        <v>126.77838077655082</v>
      </c>
      <c r="O61" s="94">
        <f t="shared" si="19"/>
        <v>134.14595336099998</v>
      </c>
    </row>
    <row r="62" spans="1:16" ht="6" customHeight="1">
      <c r="D62" s="18"/>
      <c r="F62" s="60"/>
      <c r="H62" s="65"/>
      <c r="I62" s="65"/>
      <c r="J62" s="65"/>
      <c r="K62" s="65"/>
      <c r="L62" s="65"/>
      <c r="M62" s="65"/>
      <c r="N62" s="65"/>
      <c r="O62" s="65"/>
    </row>
    <row r="63" spans="1:16" ht="12.75" customHeight="1">
      <c r="A63" s="569">
        <v>3</v>
      </c>
      <c r="C63" s="17" t="s">
        <v>110</v>
      </c>
      <c r="D63" s="18"/>
      <c r="F63" s="60"/>
      <c r="H63" s="65"/>
      <c r="I63" s="65"/>
      <c r="J63" s="65"/>
      <c r="K63" s="65"/>
      <c r="M63" s="65"/>
      <c r="N63" s="65"/>
      <c r="O63" s="65"/>
    </row>
    <row r="64" spans="1:16" ht="12.75" customHeight="1">
      <c r="A64" s="30"/>
      <c r="D64" s="18" t="str">
        <f>D49</f>
        <v>Rent</v>
      </c>
      <c r="F64" s="6" t="s">
        <v>105</v>
      </c>
      <c r="H64" s="59"/>
      <c r="I64" s="59"/>
      <c r="J64" s="59"/>
      <c r="K64" s="90">
        <f>Assumptions!E29</f>
        <v>23.5</v>
      </c>
      <c r="L64" s="91">
        <f>K64*(1+L$40)</f>
        <v>23.97</v>
      </c>
      <c r="M64" s="91">
        <f t="shared" ref="M64:O64" si="20">L64*(1+M$40)</f>
        <v>24.449400000000001</v>
      </c>
      <c r="N64" s="91">
        <f t="shared" si="20"/>
        <v>25.060634999999998</v>
      </c>
      <c r="O64" s="91">
        <f t="shared" si="20"/>
        <v>25.687150874999997</v>
      </c>
    </row>
    <row r="65" spans="1:15" ht="12.75" customHeight="1">
      <c r="D65" s="18" t="str">
        <f>D50</f>
        <v>Operating Labour</v>
      </c>
      <c r="F65" s="6" t="s">
        <v>105</v>
      </c>
      <c r="H65" s="59"/>
      <c r="I65" s="59"/>
      <c r="J65" s="59"/>
      <c r="K65" s="90">
        <f>Assumptions!E30</f>
        <v>43.5</v>
      </c>
      <c r="L65" s="91">
        <f>K65*(1+L$40)</f>
        <v>44.37</v>
      </c>
      <c r="M65" s="91">
        <f t="shared" ref="M65:O65" si="21">L65*(1+M$40)</f>
        <v>45.257399999999997</v>
      </c>
      <c r="N65" s="91">
        <f t="shared" si="21"/>
        <v>46.388834999999993</v>
      </c>
      <c r="O65" s="91">
        <f t="shared" si="21"/>
        <v>47.548555874999991</v>
      </c>
    </row>
    <row r="66" spans="1:15" ht="12.9" customHeight="1">
      <c r="D66" t="str">
        <f>D51</f>
        <v>Other</v>
      </c>
      <c r="F66" s="6" t="s">
        <v>105</v>
      </c>
      <c r="H66" s="59"/>
      <c r="I66" s="59"/>
      <c r="J66" s="59"/>
      <c r="K66" s="92">
        <f>Assumptions!E31</f>
        <v>2</v>
      </c>
      <c r="L66" s="93">
        <f>K66*(1+L$40)</f>
        <v>2.04</v>
      </c>
      <c r="M66" s="93">
        <f t="shared" ref="M66:O66" si="22">L66*(1+M$40)</f>
        <v>2.0808</v>
      </c>
      <c r="N66" s="93">
        <f t="shared" si="22"/>
        <v>2.1328199999999997</v>
      </c>
      <c r="O66" s="93">
        <f t="shared" si="22"/>
        <v>2.1861404999999996</v>
      </c>
    </row>
    <row r="67" spans="1:15" ht="12.9" customHeight="1">
      <c r="D67" s="554" t="s">
        <v>111</v>
      </c>
      <c r="F67" s="60" t="s">
        <v>105</v>
      </c>
      <c r="H67" s="61"/>
      <c r="I67" s="61"/>
      <c r="J67" s="61"/>
      <c r="K67" s="94">
        <f>K64+K65+K66</f>
        <v>69</v>
      </c>
      <c r="L67" s="94">
        <f t="shared" ref="L67" si="23">L64+L65+L66</f>
        <v>70.38000000000001</v>
      </c>
      <c r="M67" s="94">
        <f t="shared" ref="M67" si="24">M64+M65+M66</f>
        <v>71.787599999999998</v>
      </c>
      <c r="N67" s="94">
        <f t="shared" ref="N67" si="25">N64+N65+N66</f>
        <v>73.582289999999986</v>
      </c>
      <c r="O67" s="94">
        <f t="shared" ref="O67" si="26">O64+O65+O66</f>
        <v>75.421847249999985</v>
      </c>
    </row>
    <row r="68" spans="1:15" ht="6" customHeight="1">
      <c r="C68" s="21"/>
      <c r="H68" s="62"/>
      <c r="I68" s="62"/>
      <c r="J68" s="62"/>
      <c r="K68" s="62"/>
      <c r="L68" s="62"/>
      <c r="M68" s="62"/>
      <c r="N68" s="62"/>
      <c r="O68" s="62"/>
    </row>
    <row r="69" spans="1:15">
      <c r="C69" s="554" t="s">
        <v>112</v>
      </c>
      <c r="F69" s="60" t="s">
        <v>105</v>
      </c>
      <c r="H69" s="66"/>
      <c r="I69" s="66"/>
      <c r="J69" s="66"/>
      <c r="K69" s="96">
        <f>K67+K61</f>
        <v>174.68685483870968</v>
      </c>
      <c r="L69" s="96">
        <f t="shared" ref="L69:O69" si="27">L67+L61</f>
        <v>182.49261561290325</v>
      </c>
      <c r="M69" s="96">
        <f t="shared" si="27"/>
        <v>190.71666264216776</v>
      </c>
      <c r="N69" s="96">
        <f t="shared" si="27"/>
        <v>200.36067077655082</v>
      </c>
      <c r="O69" s="96">
        <f t="shared" si="27"/>
        <v>209.56780061099997</v>
      </c>
    </row>
    <row r="70" spans="1:15" ht="12.75" customHeight="1">
      <c r="B70" s="102"/>
      <c r="C70" s="103"/>
      <c r="D70" s="23"/>
      <c r="E70" s="23"/>
      <c r="F70" s="114"/>
      <c r="G70" s="115"/>
      <c r="H70" s="115"/>
      <c r="I70" s="115"/>
      <c r="J70" s="115"/>
      <c r="K70" s="115"/>
      <c r="L70" s="115"/>
      <c r="M70" s="115"/>
      <c r="N70" s="115"/>
      <c r="O70" s="115"/>
    </row>
    <row r="71" spans="1:15">
      <c r="H71" s="116"/>
      <c r="I71" s="116"/>
      <c r="J71" s="116"/>
      <c r="K71" s="116"/>
      <c r="L71" s="116"/>
      <c r="M71" s="116"/>
      <c r="N71" s="116"/>
      <c r="O71" s="116"/>
    </row>
    <row r="72" spans="1:15" ht="12.75" customHeight="1">
      <c r="A72" s="10"/>
      <c r="B72" s="11"/>
      <c r="C72" s="9"/>
      <c r="D72" s="9"/>
      <c r="E72" s="9"/>
      <c r="F72" s="31"/>
      <c r="G72" s="9"/>
      <c r="H72" s="9"/>
      <c r="I72" s="9"/>
      <c r="J72" s="9"/>
      <c r="K72" s="9"/>
      <c r="L72" s="9"/>
      <c r="M72" s="9"/>
      <c r="N72" s="9"/>
      <c r="O72" s="98" t="str">
        <f>$O$1</f>
        <v>Currently Running : Base Case Scenario</v>
      </c>
    </row>
    <row r="73" spans="1:15" ht="22.8">
      <c r="A73" s="10"/>
      <c r="B73" s="11" t="str">
        <f>B$2</f>
        <v>Blu Containers Company</v>
      </c>
      <c r="C73" s="9"/>
      <c r="D73" s="9"/>
      <c r="E73" s="9"/>
      <c r="F73" s="31"/>
      <c r="G73" s="9"/>
      <c r="H73" s="9"/>
      <c r="I73" s="9"/>
      <c r="J73" s="9"/>
      <c r="K73" s="9"/>
      <c r="L73" s="9"/>
      <c r="M73" s="9"/>
      <c r="N73" s="9"/>
      <c r="O73" s="9"/>
    </row>
    <row r="74" spans="1:15" ht="17.399999999999999">
      <c r="A74" s="12"/>
      <c r="B74" s="13" t="s">
        <v>63</v>
      </c>
      <c r="C74" s="14"/>
      <c r="D74" s="14"/>
      <c r="E74" s="14"/>
      <c r="F74" s="32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3" customHeight="1">
      <c r="A75" s="12"/>
      <c r="B75" s="15"/>
      <c r="C75" s="16"/>
      <c r="D75" s="16"/>
      <c r="E75" s="16"/>
      <c r="F75" s="33"/>
      <c r="G75" s="16"/>
      <c r="H75" s="16"/>
      <c r="I75" s="16"/>
      <c r="J75" s="16"/>
      <c r="K75" s="16"/>
      <c r="L75" s="16"/>
      <c r="M75" s="16"/>
      <c r="N75" s="16"/>
      <c r="O75" s="16"/>
    </row>
    <row r="76" spans="1:15" ht="15" customHeight="1">
      <c r="A76" s="13"/>
      <c r="B76" s="555" t="s">
        <v>8</v>
      </c>
      <c r="C76" s="14"/>
      <c r="D76" s="14"/>
      <c r="E76" s="14"/>
      <c r="F76" s="32"/>
      <c r="G76" s="14"/>
      <c r="H76" s="14"/>
      <c r="I76" s="14"/>
      <c r="J76" s="14"/>
      <c r="K76" s="14"/>
      <c r="L76" s="14"/>
      <c r="M76" s="14"/>
      <c r="N76" s="14"/>
      <c r="O76" s="14"/>
    </row>
    <row r="77" spans="1:15">
      <c r="G77" s="34"/>
      <c r="K77" s="69" t="s">
        <v>7</v>
      </c>
      <c r="L77" s="70"/>
      <c r="M77" s="70"/>
      <c r="N77" s="70"/>
      <c r="O77" s="70"/>
    </row>
    <row r="78" spans="1:15">
      <c r="G78" s="35"/>
      <c r="H78" s="36">
        <f t="shared" ref="H78:O78" si="28">H$7</f>
        <v>2020</v>
      </c>
      <c r="I78" s="36">
        <f t="shared" si="28"/>
        <v>2021</v>
      </c>
      <c r="J78" s="36">
        <f t="shared" si="28"/>
        <v>2022</v>
      </c>
      <c r="K78" s="88">
        <f t="shared" si="28"/>
        <v>2023</v>
      </c>
      <c r="L78" s="88">
        <f t="shared" si="28"/>
        <v>2024</v>
      </c>
      <c r="M78" s="88">
        <f t="shared" si="28"/>
        <v>2025</v>
      </c>
      <c r="N78" s="88">
        <f t="shared" si="28"/>
        <v>2026</v>
      </c>
      <c r="O78" s="88">
        <f t="shared" si="28"/>
        <v>2027</v>
      </c>
    </row>
    <row r="79" spans="1:15" ht="6" customHeight="1">
      <c r="G79" s="35"/>
      <c r="H79" s="35"/>
      <c r="I79" s="35"/>
      <c r="J79" s="35"/>
      <c r="K79" s="149"/>
      <c r="L79" s="149"/>
      <c r="M79" s="149"/>
      <c r="N79" s="166"/>
      <c r="O79" s="71"/>
    </row>
    <row r="80" spans="1:15">
      <c r="B80" s="105" t="s">
        <v>98</v>
      </c>
      <c r="C80" s="106"/>
      <c r="D80" s="106"/>
      <c r="E80" s="106"/>
      <c r="F80" s="106" t="s">
        <v>100</v>
      </c>
      <c r="G80" s="117"/>
      <c r="H80" s="118"/>
      <c r="I80" s="118"/>
      <c r="J80" s="118">
        <f t="shared" ref="J80" si="29">J20</f>
        <v>344.4700460829493</v>
      </c>
      <c r="K80" s="150"/>
      <c r="L80" s="150"/>
      <c r="M80" s="150"/>
      <c r="N80" s="150"/>
      <c r="O80" s="167"/>
    </row>
    <row r="81" spans="1:15" ht="6" customHeight="1">
      <c r="F81" s="38"/>
      <c r="G81" s="35"/>
      <c r="H81" s="35"/>
      <c r="I81" s="35"/>
      <c r="J81" s="35"/>
      <c r="K81" s="149"/>
      <c r="L81" s="149"/>
      <c r="M81" s="149"/>
      <c r="N81" s="166"/>
      <c r="O81" s="71"/>
    </row>
    <row r="82" spans="1:15">
      <c r="B82" s="21" t="s">
        <v>103</v>
      </c>
      <c r="F82" s="38"/>
      <c r="G82" s="35"/>
      <c r="H82" s="35"/>
      <c r="I82" s="35"/>
      <c r="J82" s="35"/>
      <c r="K82" s="149"/>
      <c r="L82" s="149"/>
      <c r="M82" s="149"/>
      <c r="N82" s="166"/>
      <c r="O82" s="71"/>
    </row>
    <row r="83" spans="1:15">
      <c r="C83" t="s">
        <v>104</v>
      </c>
      <c r="F83" s="38"/>
      <c r="G83" s="35"/>
      <c r="H83" s="59">
        <v>244.8</v>
      </c>
      <c r="I83" s="59">
        <v>269.3</v>
      </c>
      <c r="J83" s="59">
        <v>239.2</v>
      </c>
      <c r="K83" s="151">
        <f>K26</f>
        <v>289.35483870967738</v>
      </c>
      <c r="L83" s="151">
        <f t="shared" ref="L83:O83" si="30">L26</f>
        <v>272.716935483871</v>
      </c>
      <c r="M83" s="151">
        <f t="shared" si="30"/>
        <v>322.74638709677424</v>
      </c>
      <c r="N83" s="151">
        <f t="shared" si="30"/>
        <v>325.48484129032266</v>
      </c>
      <c r="O83" s="151">
        <f t="shared" si="30"/>
        <v>315</v>
      </c>
    </row>
    <row r="84" spans="1:15">
      <c r="C84" s="18" t="s">
        <v>96</v>
      </c>
      <c r="F84" s="38"/>
      <c r="G84" s="35"/>
      <c r="H84" s="119">
        <v>31.3</v>
      </c>
      <c r="I84" s="119">
        <v>32.700000000000003</v>
      </c>
      <c r="J84" s="119">
        <v>34.4</v>
      </c>
      <c r="K84" s="152">
        <f>K27</f>
        <v>36.892741935483869</v>
      </c>
      <c r="L84" s="152">
        <f t="shared" ref="L84:O84" si="31">L27</f>
        <v>39.135820645161296</v>
      </c>
      <c r="M84" s="152">
        <f t="shared" si="31"/>
        <v>41.515278540387101</v>
      </c>
      <c r="N84" s="152">
        <f t="shared" si="31"/>
        <v>44.255286924052648</v>
      </c>
      <c r="O84" s="152">
        <f t="shared" si="31"/>
        <v>46.827129509999992</v>
      </c>
    </row>
    <row r="85" spans="1:15">
      <c r="C85" s="21" t="s">
        <v>11</v>
      </c>
      <c r="F85" s="46"/>
      <c r="G85" s="35"/>
      <c r="H85" s="120">
        <f t="shared" ref="H85:J85" si="32">+H83-H84</f>
        <v>213.5</v>
      </c>
      <c r="I85" s="120">
        <f t="shared" si="32"/>
        <v>236.60000000000002</v>
      </c>
      <c r="J85" s="120">
        <f t="shared" si="32"/>
        <v>204.79999999999998</v>
      </c>
      <c r="K85" s="153">
        <f>K28</f>
        <v>252.46209677419353</v>
      </c>
      <c r="L85" s="153">
        <f t="shared" ref="L85:O85" si="33">L28</f>
        <v>233.58111483870971</v>
      </c>
      <c r="M85" s="153">
        <f t="shared" si="33"/>
        <v>281.23110855638714</v>
      </c>
      <c r="N85" s="153">
        <f t="shared" si="33"/>
        <v>281.22955436627001</v>
      </c>
      <c r="O85" s="153">
        <f t="shared" si="33"/>
        <v>268.17287049000004</v>
      </c>
    </row>
    <row r="86" spans="1:15">
      <c r="F86" s="38"/>
      <c r="G86" s="35"/>
      <c r="H86" s="121"/>
      <c r="I86" s="121"/>
      <c r="J86" s="121"/>
      <c r="K86" s="154"/>
      <c r="L86" s="154"/>
      <c r="M86" s="154"/>
      <c r="N86" s="154"/>
      <c r="O86" s="101"/>
    </row>
    <row r="87" spans="1:15">
      <c r="C87" t="s">
        <v>114</v>
      </c>
      <c r="F87" s="38"/>
      <c r="G87" s="35"/>
      <c r="H87" s="122">
        <v>159.9</v>
      </c>
      <c r="I87" s="122">
        <v>164.6</v>
      </c>
      <c r="J87" s="122">
        <v>167.9</v>
      </c>
      <c r="K87" s="151">
        <f>K69</f>
        <v>174.68685483870968</v>
      </c>
      <c r="L87" s="151">
        <f t="shared" ref="L87:O87" si="34">L69</f>
        <v>182.49261561290325</v>
      </c>
      <c r="M87" s="151">
        <f t="shared" si="34"/>
        <v>190.71666264216776</v>
      </c>
      <c r="N87" s="151">
        <f t="shared" si="34"/>
        <v>200.36067077655082</v>
      </c>
      <c r="O87" s="151">
        <f t="shared" si="34"/>
        <v>209.56780061099997</v>
      </c>
    </row>
    <row r="88" spans="1:15">
      <c r="A88" s="22"/>
      <c r="C88" s="549" t="s">
        <v>115</v>
      </c>
      <c r="F88" s="38"/>
      <c r="G88" s="35"/>
      <c r="H88" s="123">
        <v>3.4</v>
      </c>
      <c r="I88" s="123">
        <v>3.6</v>
      </c>
      <c r="J88" s="123">
        <v>3.8</v>
      </c>
      <c r="K88" s="155">
        <f>Assumptions!E32</f>
        <v>3.9</v>
      </c>
      <c r="L88" s="152">
        <f>K88*(1+L40)</f>
        <v>3.9779999999999998</v>
      </c>
      <c r="M88" s="152">
        <f t="shared" ref="M88:O88" si="35">L88*(1+M40)</f>
        <v>4.0575599999999996</v>
      </c>
      <c r="N88" s="152">
        <f t="shared" si="35"/>
        <v>4.1589989999999997</v>
      </c>
      <c r="O88" s="152">
        <f t="shared" si="35"/>
        <v>4.2629739749999995</v>
      </c>
    </row>
    <row r="89" spans="1:15">
      <c r="C89" s="554" t="s">
        <v>112</v>
      </c>
      <c r="F89" s="46"/>
      <c r="G89" s="35"/>
      <c r="H89" s="120">
        <f t="shared" ref="H89:J89" si="36">SUM(H87:H88)</f>
        <v>163.30000000000001</v>
      </c>
      <c r="I89" s="120">
        <f t="shared" si="36"/>
        <v>168.2</v>
      </c>
      <c r="J89" s="120">
        <f t="shared" si="36"/>
        <v>171.70000000000002</v>
      </c>
      <c r="K89" s="153">
        <f>K87+K88</f>
        <v>178.58685483870968</v>
      </c>
      <c r="L89" s="153">
        <f t="shared" ref="L89:O89" si="37">L87+L88</f>
        <v>186.47061561290326</v>
      </c>
      <c r="M89" s="153">
        <f t="shared" si="37"/>
        <v>194.77422264216776</v>
      </c>
      <c r="N89" s="153">
        <f t="shared" si="37"/>
        <v>204.51966977655081</v>
      </c>
      <c r="O89" s="153">
        <f t="shared" si="37"/>
        <v>213.83077458599996</v>
      </c>
    </row>
    <row r="90" spans="1:15">
      <c r="C90" s="17"/>
      <c r="F90" s="46"/>
      <c r="G90" s="35"/>
      <c r="H90" s="124"/>
      <c r="I90" s="124"/>
      <c r="J90" s="124"/>
      <c r="K90" s="124"/>
      <c r="L90" s="124"/>
      <c r="M90" s="124"/>
      <c r="N90" s="124"/>
      <c r="O90" s="124"/>
    </row>
    <row r="91" spans="1:15">
      <c r="A91" s="22"/>
      <c r="C91" s="549" t="s">
        <v>64</v>
      </c>
      <c r="F91" s="38"/>
      <c r="G91" s="35"/>
      <c r="H91" s="125">
        <v>0</v>
      </c>
      <c r="I91" s="125">
        <v>0</v>
      </c>
      <c r="J91" s="125">
        <v>0</v>
      </c>
      <c r="K91" s="155">
        <f>Assumptions!J53</f>
        <v>0</v>
      </c>
      <c r="L91" s="155">
        <f>Assumptions!K53</f>
        <v>0</v>
      </c>
      <c r="M91" s="155">
        <f>Assumptions!L53</f>
        <v>0</v>
      </c>
      <c r="N91" s="155">
        <f>Assumptions!M53</f>
        <v>0</v>
      </c>
      <c r="O91" s="155">
        <f>Assumptions!N53</f>
        <v>0</v>
      </c>
    </row>
    <row r="92" spans="1:15">
      <c r="B92" s="21"/>
      <c r="C92" s="21" t="s">
        <v>15</v>
      </c>
      <c r="F92" s="46"/>
      <c r="H92" s="126">
        <f t="shared" ref="H92:J92" si="38">H85-H89+H91</f>
        <v>50.199999999999989</v>
      </c>
      <c r="I92" s="126">
        <f t="shared" si="38"/>
        <v>68.400000000000034</v>
      </c>
      <c r="J92" s="126">
        <f t="shared" si="38"/>
        <v>33.099999999999966</v>
      </c>
      <c r="K92" s="94">
        <f>K85-K89</f>
        <v>73.875241935483842</v>
      </c>
      <c r="L92" s="94">
        <f t="shared" ref="L92:O92" si="39">L85-L89</f>
        <v>47.11049922580645</v>
      </c>
      <c r="M92" s="94">
        <f t="shared" si="39"/>
        <v>86.456885914219384</v>
      </c>
      <c r="N92" s="94">
        <f t="shared" si="39"/>
        <v>76.709884589719195</v>
      </c>
      <c r="O92" s="94">
        <f t="shared" si="39"/>
        <v>54.342095904000075</v>
      </c>
    </row>
    <row r="93" spans="1:15">
      <c r="F93" s="38"/>
      <c r="H93" s="62"/>
      <c r="I93" s="62"/>
      <c r="J93" s="156"/>
      <c r="K93" s="156"/>
      <c r="L93" s="156"/>
      <c r="M93" s="156"/>
      <c r="N93" s="156"/>
      <c r="O93" s="156"/>
    </row>
    <row r="94" spans="1:15">
      <c r="C94" t="s">
        <v>116</v>
      </c>
      <c r="F94" s="38"/>
      <c r="H94" s="127">
        <v>15.4</v>
      </c>
      <c r="I94" s="127">
        <v>15.5</v>
      </c>
      <c r="J94" s="127">
        <v>15.8</v>
      </c>
      <c r="K94" s="93">
        <f>K214</f>
        <v>16.174666666666667</v>
      </c>
      <c r="L94" s="93">
        <f t="shared" ref="L94:O94" si="40">L214</f>
        <v>16.724666666666668</v>
      </c>
      <c r="M94" s="93">
        <f t="shared" si="40"/>
        <v>17.296333333333333</v>
      </c>
      <c r="N94" s="93">
        <f t="shared" si="40"/>
        <v>17.876333333333335</v>
      </c>
      <c r="O94" s="93">
        <f t="shared" si="40"/>
        <v>18.468</v>
      </c>
    </row>
    <row r="95" spans="1:15">
      <c r="C95" s="554" t="s">
        <v>117</v>
      </c>
      <c r="F95" s="46"/>
      <c r="H95" s="61">
        <f t="shared" ref="H95:J95" si="41">H92-H94</f>
        <v>34.79999999999999</v>
      </c>
      <c r="I95" s="61">
        <f t="shared" si="41"/>
        <v>52.900000000000034</v>
      </c>
      <c r="J95" s="61">
        <f t="shared" si="41"/>
        <v>17.299999999999965</v>
      </c>
      <c r="K95" s="94">
        <f>K92-K94</f>
        <v>57.700575268817175</v>
      </c>
      <c r="L95" s="94">
        <f t="shared" ref="L95:O95" si="42">L92-L94</f>
        <v>30.385832559139782</v>
      </c>
      <c r="M95" s="94">
        <f t="shared" si="42"/>
        <v>69.160552580886048</v>
      </c>
      <c r="N95" s="94">
        <f t="shared" si="42"/>
        <v>58.83355125638586</v>
      </c>
      <c r="O95" s="94">
        <f t="shared" si="42"/>
        <v>35.874095904000072</v>
      </c>
    </row>
    <row r="96" spans="1:15" ht="6" customHeight="1">
      <c r="C96" s="17"/>
      <c r="F96" s="46"/>
      <c r="H96" s="65"/>
      <c r="I96" s="65"/>
      <c r="J96" s="65"/>
      <c r="K96" s="65"/>
      <c r="L96" s="65"/>
      <c r="M96" s="65"/>
      <c r="N96" s="65"/>
      <c r="O96" s="65"/>
    </row>
    <row r="97" spans="2:16">
      <c r="C97" s="18" t="s">
        <v>118</v>
      </c>
      <c r="F97" s="38"/>
      <c r="H97" s="128">
        <v>15</v>
      </c>
      <c r="I97" s="128">
        <v>15</v>
      </c>
      <c r="J97" s="128">
        <v>14</v>
      </c>
      <c r="K97" s="93">
        <f>K326</f>
        <v>12</v>
      </c>
      <c r="L97" s="93">
        <f t="shared" ref="L97:O97" si="43">L326</f>
        <v>10.56462105735749</v>
      </c>
      <c r="M97" s="93">
        <f t="shared" si="43"/>
        <v>9.4646151055970638</v>
      </c>
      <c r="N97" s="93">
        <f t="shared" si="43"/>
        <v>7.5737372779176537</v>
      </c>
      <c r="O97" s="93">
        <f t="shared" si="43"/>
        <v>6</v>
      </c>
    </row>
    <row r="98" spans="2:16">
      <c r="C98" s="17" t="s">
        <v>119</v>
      </c>
      <c r="F98" s="46"/>
      <c r="H98" s="64">
        <f t="shared" ref="H98:J98" si="44">H95-H97</f>
        <v>19.79999999999999</v>
      </c>
      <c r="I98" s="64">
        <f t="shared" si="44"/>
        <v>37.900000000000034</v>
      </c>
      <c r="J98" s="64">
        <f t="shared" si="44"/>
        <v>3.2999999999999652</v>
      </c>
      <c r="K98" s="91">
        <f>K95-K97</f>
        <v>45.700575268817175</v>
      </c>
      <c r="L98" s="91">
        <f>L95-L97</f>
        <v>19.821211501782294</v>
      </c>
      <c r="M98" s="91">
        <f t="shared" ref="M98:O98" si="45">M95-M97</f>
        <v>59.695937475288986</v>
      </c>
      <c r="N98" s="91">
        <f t="shared" si="45"/>
        <v>51.259813978468209</v>
      </c>
      <c r="O98" s="91">
        <f t="shared" si="45"/>
        <v>29.874095904000072</v>
      </c>
    </row>
    <row r="99" spans="2:16" ht="6" customHeight="1">
      <c r="C99" s="17"/>
      <c r="F99" s="46"/>
      <c r="H99" s="129"/>
      <c r="I99" s="129"/>
      <c r="J99" s="129"/>
      <c r="K99" s="129"/>
      <c r="L99" s="65"/>
      <c r="M99" s="61"/>
      <c r="N99" s="61"/>
      <c r="O99" s="65"/>
    </row>
    <row r="100" spans="2:16">
      <c r="C100" t="s">
        <v>120</v>
      </c>
      <c r="F100" s="38"/>
      <c r="H100" s="59">
        <v>3</v>
      </c>
      <c r="I100" s="59">
        <v>8</v>
      </c>
      <c r="J100" s="59">
        <v>0</v>
      </c>
      <c r="K100" s="91">
        <f>K237</f>
        <v>14.245201344086011</v>
      </c>
      <c r="L100" s="91">
        <f t="shared" ref="L100:O100" si="46">L237</f>
        <v>5.1874240256238027</v>
      </c>
      <c r="M100" s="91">
        <f t="shared" si="46"/>
        <v>19.143578116351144</v>
      </c>
      <c r="N100" s="91">
        <f t="shared" si="46"/>
        <v>16.190934892463872</v>
      </c>
      <c r="O100" s="91">
        <f t="shared" si="46"/>
        <v>8.7059335664000237</v>
      </c>
    </row>
    <row r="101" spans="2:16">
      <c r="C101" t="s">
        <v>121</v>
      </c>
      <c r="F101" s="38"/>
      <c r="H101" s="119">
        <v>2.7</v>
      </c>
      <c r="I101" s="119">
        <v>6.2</v>
      </c>
      <c r="J101" s="119">
        <v>1.1000000000000001</v>
      </c>
      <c r="K101" s="93">
        <f t="shared" ref="K101:O101" si="47">K238</f>
        <v>1.75</v>
      </c>
      <c r="L101" s="93">
        <f t="shared" si="47"/>
        <v>1.75</v>
      </c>
      <c r="M101" s="93">
        <f t="shared" si="47"/>
        <v>1.75</v>
      </c>
      <c r="N101" s="93">
        <f t="shared" si="47"/>
        <v>1.75</v>
      </c>
      <c r="O101" s="93">
        <f t="shared" si="47"/>
        <v>1.75</v>
      </c>
    </row>
    <row r="102" spans="2:16">
      <c r="C102" s="21" t="s">
        <v>122</v>
      </c>
      <c r="F102" s="46"/>
      <c r="H102" s="130">
        <f t="shared" ref="H102:J102" si="48">SUM(H100:H101)</f>
        <v>5.7</v>
      </c>
      <c r="I102" s="130">
        <f t="shared" si="48"/>
        <v>14.2</v>
      </c>
      <c r="J102" s="130">
        <f t="shared" si="48"/>
        <v>1.1000000000000001</v>
      </c>
      <c r="K102" s="157">
        <f t="shared" ref="K102:O102" si="49">K239</f>
        <v>15.995201344086011</v>
      </c>
      <c r="L102" s="157">
        <f t="shared" si="49"/>
        <v>6.9374240256238027</v>
      </c>
      <c r="M102" s="157">
        <f t="shared" si="49"/>
        <v>20.893578116351144</v>
      </c>
      <c r="N102" s="157">
        <f t="shared" si="49"/>
        <v>17.940934892463872</v>
      </c>
      <c r="O102" s="157">
        <f t="shared" si="49"/>
        <v>10.455933566400024</v>
      </c>
    </row>
    <row r="103" spans="2:16">
      <c r="F103" s="38"/>
    </row>
    <row r="104" spans="2:16">
      <c r="C104" s="556" t="s">
        <v>17</v>
      </c>
      <c r="D104" s="21"/>
      <c r="E104" s="21"/>
      <c r="F104" s="46"/>
      <c r="H104" s="131">
        <f t="shared" ref="H104:O104" si="50">H98-H102</f>
        <v>14.099999999999991</v>
      </c>
      <c r="I104" s="131">
        <f t="shared" si="50"/>
        <v>23.700000000000035</v>
      </c>
      <c r="J104" s="131">
        <f t="shared" si="50"/>
        <v>2.1999999999999651</v>
      </c>
      <c r="K104" s="158">
        <f t="shared" si="50"/>
        <v>29.705373924731163</v>
      </c>
      <c r="L104" s="158">
        <f>L98-L102</f>
        <v>12.883787476158492</v>
      </c>
      <c r="M104" s="158">
        <f t="shared" si="50"/>
        <v>38.802359358937842</v>
      </c>
      <c r="N104" s="158">
        <f t="shared" si="50"/>
        <v>33.318879086004337</v>
      </c>
      <c r="O104" s="158">
        <f t="shared" si="50"/>
        <v>19.418162337600048</v>
      </c>
    </row>
    <row r="105" spans="2:16">
      <c r="C105" s="107"/>
      <c r="F105"/>
      <c r="H105" s="132"/>
      <c r="I105" s="132"/>
      <c r="J105" s="132"/>
      <c r="K105" s="132"/>
      <c r="L105" s="132"/>
      <c r="M105" s="132"/>
      <c r="N105" s="132"/>
      <c r="O105" s="132"/>
    </row>
    <row r="106" spans="2:16">
      <c r="H106" s="116"/>
      <c r="I106" s="116"/>
      <c r="J106" s="116"/>
      <c r="K106" s="159"/>
      <c r="L106" s="159"/>
      <c r="M106" s="159"/>
      <c r="N106" s="159"/>
      <c r="O106" s="159"/>
    </row>
    <row r="107" spans="2:16">
      <c r="B107" s="108" t="s">
        <v>123</v>
      </c>
      <c r="C107" s="109"/>
      <c r="D107" s="109"/>
      <c r="E107" s="109"/>
      <c r="F107" s="133"/>
      <c r="G107" s="109"/>
      <c r="H107" s="134"/>
      <c r="I107" s="134"/>
      <c r="J107" s="134"/>
      <c r="K107" s="134"/>
      <c r="L107" s="134"/>
      <c r="M107" s="134"/>
      <c r="N107" s="134"/>
      <c r="O107" s="168"/>
    </row>
    <row r="108" spans="2:16">
      <c r="B108" s="110"/>
      <c r="C108" t="s">
        <v>124</v>
      </c>
      <c r="H108" s="135">
        <f t="shared" ref="H108:I108" si="51">H92/H85</f>
        <v>0.23512880562060884</v>
      </c>
      <c r="I108" s="135">
        <f t="shared" si="51"/>
        <v>0.28909551986475074</v>
      </c>
      <c r="J108" s="135">
        <f>J92/J85</f>
        <v>0.16162109374999983</v>
      </c>
      <c r="K108" s="160">
        <f t="shared" ref="K108:O108" si="52">K92/K85</f>
        <v>0.29261914116778937</v>
      </c>
      <c r="L108" s="160">
        <f t="shared" si="52"/>
        <v>0.20168796290888824</v>
      </c>
      <c r="M108" s="160">
        <f t="shared" si="52"/>
        <v>0.30742291049528286</v>
      </c>
      <c r="N108" s="160">
        <f t="shared" si="52"/>
        <v>0.27276608520956924</v>
      </c>
      <c r="O108" s="169">
        <f t="shared" si="52"/>
        <v>0.20263830492885912</v>
      </c>
      <c r="P108" s="170"/>
    </row>
    <row r="109" spans="2:16">
      <c r="B109" s="110"/>
      <c r="C109" t="s">
        <v>125</v>
      </c>
      <c r="H109" s="135">
        <f t="shared" ref="H109:J109" si="53">H95/H85</f>
        <v>0.16299765807962524</v>
      </c>
      <c r="I109" s="135">
        <f t="shared" si="53"/>
        <v>0.22358410819949293</v>
      </c>
      <c r="J109" s="135">
        <f t="shared" si="53"/>
        <v>8.4472656249999833E-2</v>
      </c>
      <c r="K109" s="160">
        <f t="shared" ref="K109:O109" si="54">K95/K85</f>
        <v>0.22855143804190761</v>
      </c>
      <c r="L109" s="160">
        <f t="shared" si="54"/>
        <v>0.13008685475331142</v>
      </c>
      <c r="M109" s="160">
        <f t="shared" si="54"/>
        <v>0.24592070534408636</v>
      </c>
      <c r="N109" s="160">
        <f t="shared" si="54"/>
        <v>0.20920116802433128</v>
      </c>
      <c r="O109" s="169">
        <f t="shared" si="54"/>
        <v>0.13377227845028339</v>
      </c>
    </row>
    <row r="110" spans="2:16">
      <c r="B110" s="111"/>
      <c r="C110" s="23" t="s">
        <v>126</v>
      </c>
      <c r="D110" s="23"/>
      <c r="E110" s="23"/>
      <c r="F110" s="53"/>
      <c r="G110" s="23"/>
      <c r="H110" s="136"/>
      <c r="I110" s="136"/>
      <c r="J110" s="161">
        <f t="shared" ref="J110" si="55">J104/J184</f>
        <v>8.5106382978722053E-3</v>
      </c>
      <c r="K110" s="162">
        <f t="shared" ref="K110:O110" si="56">K104/K184</f>
        <v>0.10523957161872693</v>
      </c>
      <c r="L110" s="162">
        <f t="shared" si="56"/>
        <v>4.4036397943978928E-2</v>
      </c>
      <c r="M110" s="162">
        <f t="shared" si="56"/>
        <v>0.11990350630813872</v>
      </c>
      <c r="N110" s="162">
        <f t="shared" si="56"/>
        <v>9.5123872743433924E-2</v>
      </c>
      <c r="O110" s="171">
        <f t="shared" si="56"/>
        <v>5.3083682511067723E-2</v>
      </c>
    </row>
    <row r="111" spans="2:16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2:16">
      <c r="C112" s="112"/>
      <c r="H112" s="137"/>
      <c r="I112" s="137"/>
      <c r="J112" s="137"/>
      <c r="K112" s="137"/>
      <c r="L112" s="137"/>
      <c r="M112" s="137"/>
      <c r="N112" s="137"/>
      <c r="O112" s="137"/>
    </row>
    <row r="113" spans="1:15" ht="12.75" customHeight="1">
      <c r="A113" s="10"/>
      <c r="B113" s="11"/>
      <c r="C113" s="9"/>
      <c r="D113" s="9"/>
      <c r="E113" s="9"/>
      <c r="F113" s="31"/>
      <c r="G113" s="9"/>
      <c r="H113" s="9"/>
      <c r="I113" s="9"/>
      <c r="J113" s="9"/>
      <c r="K113" s="9"/>
      <c r="L113" s="9"/>
      <c r="M113" s="9"/>
      <c r="N113" s="9"/>
      <c r="O113" s="98" t="str">
        <f>$O$1</f>
        <v>Currently Running : Base Case Scenario</v>
      </c>
    </row>
    <row r="114" spans="1:15" ht="22.8">
      <c r="B114" s="11" t="str">
        <f>B$2</f>
        <v>Blu Containers Company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17.399999999999999">
      <c r="B115" s="13" t="s">
        <v>65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3" customHeight="1">
      <c r="A116" s="12"/>
      <c r="B116" s="15"/>
      <c r="C116" s="16"/>
      <c r="D116" s="16"/>
      <c r="E116" s="16"/>
      <c r="F116" s="33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>
      <c r="B117" s="555" t="s">
        <v>8</v>
      </c>
      <c r="F117"/>
    </row>
    <row r="118" spans="1:15">
      <c r="F118"/>
      <c r="K118" s="69" t="s">
        <v>7</v>
      </c>
      <c r="L118" s="70"/>
      <c r="M118" s="70"/>
      <c r="N118" s="70"/>
      <c r="O118" s="70"/>
    </row>
    <row r="119" spans="1:15">
      <c r="B119" s="113"/>
      <c r="F119" s="138"/>
      <c r="G119" s="139"/>
      <c r="H119" s="36">
        <f t="shared" ref="H119:O119" si="57">H$7</f>
        <v>2020</v>
      </c>
      <c r="I119" s="36">
        <f t="shared" si="57"/>
        <v>2021</v>
      </c>
      <c r="J119" s="36">
        <f t="shared" si="57"/>
        <v>2022</v>
      </c>
      <c r="K119" s="88">
        <f t="shared" si="57"/>
        <v>2023</v>
      </c>
      <c r="L119" s="88">
        <f t="shared" si="57"/>
        <v>2024</v>
      </c>
      <c r="M119" s="88">
        <f t="shared" si="57"/>
        <v>2025</v>
      </c>
      <c r="N119" s="88">
        <f t="shared" si="57"/>
        <v>2026</v>
      </c>
      <c r="O119" s="88">
        <f t="shared" si="57"/>
        <v>2027</v>
      </c>
    </row>
    <row r="120" spans="1:15">
      <c r="B120" s="21" t="s">
        <v>127</v>
      </c>
      <c r="F120"/>
    </row>
    <row r="121" spans="1:15">
      <c r="C121" t="s">
        <v>17</v>
      </c>
      <c r="F121"/>
      <c r="G121" s="140"/>
      <c r="H121" s="141">
        <v>14.1</v>
      </c>
      <c r="I121" s="141">
        <v>23.7</v>
      </c>
      <c r="J121" s="141">
        <v>2.2000000000000002</v>
      </c>
      <c r="K121" s="163">
        <f>K104</f>
        <v>29.705373924731163</v>
      </c>
      <c r="L121" s="163">
        <f t="shared" ref="L121:O121" si="58">L104</f>
        <v>12.883787476158492</v>
      </c>
      <c r="M121" s="163">
        <f t="shared" si="58"/>
        <v>38.802359358937842</v>
      </c>
      <c r="N121" s="163">
        <f t="shared" si="58"/>
        <v>33.318879086004337</v>
      </c>
      <c r="O121" s="163">
        <f t="shared" si="58"/>
        <v>19.418162337600048</v>
      </c>
    </row>
    <row r="122" spans="1:15">
      <c r="C122" t="s">
        <v>128</v>
      </c>
      <c r="F122"/>
      <c r="G122" s="140"/>
      <c r="H122" s="141">
        <v>15.4</v>
      </c>
      <c r="I122" s="141">
        <v>15.5</v>
      </c>
      <c r="J122" s="141">
        <v>15.8</v>
      </c>
      <c r="K122" s="163">
        <f>K94</f>
        <v>16.174666666666667</v>
      </c>
      <c r="L122" s="163">
        <f t="shared" ref="L122:O122" si="59">L94</f>
        <v>16.724666666666668</v>
      </c>
      <c r="M122" s="163">
        <f t="shared" si="59"/>
        <v>17.296333333333333</v>
      </c>
      <c r="N122" s="163">
        <f t="shared" si="59"/>
        <v>17.876333333333335</v>
      </c>
      <c r="O122" s="163">
        <f t="shared" si="59"/>
        <v>18.468</v>
      </c>
    </row>
    <row r="123" spans="1:15">
      <c r="C123" t="s">
        <v>121</v>
      </c>
      <c r="F123"/>
      <c r="G123" s="142"/>
      <c r="H123" s="141">
        <v>2.7</v>
      </c>
      <c r="I123" s="141">
        <v>6.2</v>
      </c>
      <c r="J123" s="141">
        <v>1.1000000000000001</v>
      </c>
      <c r="K123" s="163">
        <f>K101</f>
        <v>1.75</v>
      </c>
      <c r="L123" s="163">
        <f t="shared" ref="L123:O123" si="60">L101</f>
        <v>1.75</v>
      </c>
      <c r="M123" s="163">
        <f t="shared" si="60"/>
        <v>1.75</v>
      </c>
      <c r="N123" s="163">
        <f t="shared" si="60"/>
        <v>1.75</v>
      </c>
      <c r="O123" s="163">
        <f t="shared" si="60"/>
        <v>1.75</v>
      </c>
    </row>
    <row r="124" spans="1:15">
      <c r="C124" t="s">
        <v>129</v>
      </c>
      <c r="F124"/>
      <c r="G124" s="143"/>
      <c r="H124" s="144">
        <v>0</v>
      </c>
      <c r="I124" s="144">
        <v>0</v>
      </c>
      <c r="J124" s="164">
        <v>0</v>
      </c>
      <c r="K124" s="93">
        <f>K275</f>
        <v>-2.0659834290764323</v>
      </c>
      <c r="L124" s="93">
        <f t="shared" ref="L124:O124" si="61">L275</f>
        <v>6.5517358817469855</v>
      </c>
      <c r="M124" s="93">
        <f t="shared" si="61"/>
        <v>-1.2735903591601243</v>
      </c>
      <c r="N124" s="93">
        <f t="shared" si="61"/>
        <v>-1.1359731018459769</v>
      </c>
      <c r="O124" s="93">
        <f t="shared" si="61"/>
        <v>3.2169856855465184</v>
      </c>
    </row>
    <row r="125" spans="1:15">
      <c r="C125" s="554" t="s">
        <v>130</v>
      </c>
      <c r="F125"/>
      <c r="G125" s="65"/>
      <c r="H125" s="145">
        <f t="shared" ref="H125:O125" si="62">SUM(H121:H124)</f>
        <v>32.200000000000003</v>
      </c>
      <c r="I125" s="145">
        <f t="shared" si="62"/>
        <v>45.400000000000006</v>
      </c>
      <c r="J125" s="145">
        <f t="shared" si="62"/>
        <v>19.100000000000001</v>
      </c>
      <c r="K125" s="165">
        <f t="shared" si="62"/>
        <v>45.564057162321397</v>
      </c>
      <c r="L125" s="165">
        <f t="shared" si="62"/>
        <v>37.910190024572145</v>
      </c>
      <c r="M125" s="165">
        <f t="shared" si="62"/>
        <v>56.575102333111047</v>
      </c>
      <c r="N125" s="165">
        <f t="shared" si="62"/>
        <v>51.809239317491695</v>
      </c>
      <c r="O125" s="165">
        <f t="shared" si="62"/>
        <v>42.853148023146566</v>
      </c>
    </row>
    <row r="126" spans="1:15">
      <c r="B126" s="18"/>
      <c r="F126"/>
      <c r="G126" s="116"/>
      <c r="H126" s="146"/>
      <c r="I126" s="146"/>
      <c r="J126" s="146"/>
      <c r="K126" s="146"/>
      <c r="L126" s="146"/>
      <c r="M126" s="146"/>
      <c r="N126" s="146"/>
      <c r="O126" s="146"/>
    </row>
    <row r="127" spans="1:15">
      <c r="B127" s="18"/>
      <c r="F127"/>
      <c r="G127" s="116"/>
      <c r="H127" s="146"/>
      <c r="I127" s="146"/>
      <c r="J127" s="146"/>
      <c r="K127" s="146"/>
      <c r="L127" s="146"/>
      <c r="M127" s="146"/>
      <c r="N127" s="146"/>
      <c r="O127" s="146"/>
    </row>
    <row r="128" spans="1:15">
      <c r="B128" s="21" t="s">
        <v>131</v>
      </c>
      <c r="F128"/>
      <c r="G128" s="147"/>
      <c r="H128" s="148"/>
      <c r="I128" s="148"/>
      <c r="J128" s="148"/>
      <c r="K128" s="142"/>
      <c r="L128" s="142"/>
      <c r="M128" s="142"/>
      <c r="N128" s="142"/>
      <c r="O128" s="142"/>
    </row>
    <row r="129" spans="1:15">
      <c r="C129" t="s">
        <v>132</v>
      </c>
      <c r="H129" s="178">
        <v>-14.1</v>
      </c>
      <c r="I129" s="178">
        <v>-15</v>
      </c>
      <c r="J129" s="178">
        <v>-15.5</v>
      </c>
      <c r="K129" s="90">
        <f>-Assumptions!J58</f>
        <v>-16</v>
      </c>
      <c r="L129" s="90">
        <f>-Assumptions!K58</f>
        <v>-17</v>
      </c>
      <c r="M129" s="90">
        <f>-Assumptions!L58</f>
        <v>-17.3</v>
      </c>
      <c r="N129" s="90">
        <f>-Assumptions!M58</f>
        <v>-17.5</v>
      </c>
      <c r="O129" s="90">
        <f>-Assumptions!N58</f>
        <v>-18</v>
      </c>
    </row>
    <row r="130" spans="1:15">
      <c r="C130" t="s">
        <v>52</v>
      </c>
      <c r="H130" s="127">
        <v>-5</v>
      </c>
      <c r="I130" s="127">
        <v>4</v>
      </c>
      <c r="J130" s="127">
        <v>3</v>
      </c>
      <c r="K130" s="155">
        <f>Assumptions!J56</f>
        <v>0</v>
      </c>
      <c r="L130" s="155">
        <f>Assumptions!K56</f>
        <v>0</v>
      </c>
      <c r="M130" s="155">
        <f>Assumptions!L56</f>
        <v>0</v>
      </c>
      <c r="N130" s="155">
        <f>Assumptions!M56</f>
        <v>0</v>
      </c>
      <c r="O130" s="155">
        <f>Assumptions!N56</f>
        <v>0</v>
      </c>
    </row>
    <row r="131" spans="1:15">
      <c r="A131" s="21"/>
      <c r="C131" s="21" t="s">
        <v>133</v>
      </c>
      <c r="F131"/>
      <c r="G131" s="65"/>
      <c r="H131" s="179">
        <f t="shared" ref="H131:O131" si="63">SUM(H129:H130)</f>
        <v>-19.100000000000001</v>
      </c>
      <c r="I131" s="179">
        <f t="shared" si="63"/>
        <v>-11</v>
      </c>
      <c r="J131" s="179">
        <f t="shared" si="63"/>
        <v>-12.5</v>
      </c>
      <c r="K131" s="202">
        <f t="shared" si="63"/>
        <v>-16</v>
      </c>
      <c r="L131" s="202">
        <f t="shared" si="63"/>
        <v>-17</v>
      </c>
      <c r="M131" s="202">
        <f t="shared" si="63"/>
        <v>-17.3</v>
      </c>
      <c r="N131" s="202">
        <f t="shared" si="63"/>
        <v>-17.5</v>
      </c>
      <c r="O131" s="202">
        <f t="shared" si="63"/>
        <v>-18</v>
      </c>
    </row>
    <row r="132" spans="1:15">
      <c r="A132" s="21"/>
      <c r="B132" s="17"/>
      <c r="F132"/>
      <c r="G132" s="65"/>
      <c r="H132" s="180"/>
      <c r="I132" s="180"/>
      <c r="J132" s="203"/>
      <c r="K132" s="204"/>
      <c r="L132" s="204"/>
      <c r="M132" s="204"/>
      <c r="N132" s="204"/>
      <c r="O132" s="204"/>
    </row>
    <row r="133" spans="1:15">
      <c r="A133" s="21"/>
      <c r="B133" s="17"/>
      <c r="F133"/>
      <c r="G133" s="65"/>
      <c r="H133" s="180"/>
      <c r="I133" s="180"/>
      <c r="J133" s="180"/>
      <c r="K133" s="204"/>
      <c r="L133" s="204"/>
      <c r="M133" s="204"/>
      <c r="N133" s="204"/>
      <c r="O133" s="204"/>
    </row>
    <row r="134" spans="1:15">
      <c r="A134" s="21"/>
      <c r="B134" s="17" t="s">
        <v>134</v>
      </c>
      <c r="F134"/>
      <c r="G134" s="65"/>
      <c r="H134" s="181"/>
      <c r="I134" s="181"/>
      <c r="J134" s="181"/>
      <c r="K134" s="205"/>
      <c r="L134" s="205"/>
      <c r="M134" s="205"/>
      <c r="N134" s="205"/>
      <c r="O134" s="205"/>
    </row>
    <row r="135" spans="1:15">
      <c r="A135" s="21"/>
      <c r="B135" s="17"/>
      <c r="C135" t="s">
        <v>135</v>
      </c>
      <c r="F135"/>
      <c r="G135" s="65"/>
      <c r="H135" s="178">
        <v>0</v>
      </c>
      <c r="I135" s="178">
        <v>0</v>
      </c>
      <c r="J135" s="178">
        <v>0</v>
      </c>
      <c r="K135" s="163">
        <f>K306</f>
        <v>1.0770176226248356</v>
      </c>
      <c r="L135" s="163">
        <f t="shared" ref="L135:O135" si="64">L306</f>
        <v>6.6665674706595501</v>
      </c>
      <c r="M135" s="163">
        <f t="shared" si="64"/>
        <v>-6.5146304613234838</v>
      </c>
      <c r="N135" s="163">
        <f t="shared" si="64"/>
        <v>-1.2289546319609022</v>
      </c>
      <c r="O135" s="163">
        <f t="shared" si="64"/>
        <v>2.6139755760435204</v>
      </c>
    </row>
    <row r="136" spans="1:15">
      <c r="A136" s="21"/>
      <c r="B136" s="17"/>
      <c r="C136" t="s">
        <v>136</v>
      </c>
      <c r="F136"/>
      <c r="G136" s="65"/>
      <c r="H136" s="178">
        <v>-25</v>
      </c>
      <c r="I136" s="178">
        <v>-25</v>
      </c>
      <c r="J136" s="178">
        <v>-25</v>
      </c>
      <c r="K136" s="163">
        <f>K318</f>
        <v>-25</v>
      </c>
      <c r="L136" s="163">
        <f t="shared" ref="L136:O136" si="65">L318</f>
        <v>-25</v>
      </c>
      <c r="M136" s="163">
        <f t="shared" si="65"/>
        <v>-25</v>
      </c>
      <c r="N136" s="163">
        <f t="shared" si="65"/>
        <v>-25</v>
      </c>
      <c r="O136" s="163">
        <f t="shared" si="65"/>
        <v>-25</v>
      </c>
    </row>
    <row r="137" spans="1:15">
      <c r="A137" s="21"/>
      <c r="B137" s="17"/>
      <c r="C137" t="s">
        <v>137</v>
      </c>
      <c r="F137"/>
      <c r="G137" s="65"/>
      <c r="H137" s="178">
        <v>0</v>
      </c>
      <c r="I137" s="178">
        <v>0</v>
      </c>
      <c r="J137" s="178">
        <v>0</v>
      </c>
      <c r="K137" s="163">
        <f>K339</f>
        <v>0</v>
      </c>
      <c r="L137" s="163">
        <f t="shared" ref="L137:O137" si="66">L339</f>
        <v>0</v>
      </c>
      <c r="M137" s="163">
        <f t="shared" si="66"/>
        <v>0</v>
      </c>
      <c r="N137" s="163">
        <f t="shared" si="66"/>
        <v>0</v>
      </c>
      <c r="O137" s="163">
        <f t="shared" si="66"/>
        <v>0</v>
      </c>
    </row>
    <row r="138" spans="1:15">
      <c r="A138" s="21"/>
      <c r="B138" s="17"/>
      <c r="C138" t="s">
        <v>138</v>
      </c>
      <c r="F138"/>
      <c r="G138" s="65"/>
      <c r="H138" s="127">
        <v>-2.8</v>
      </c>
      <c r="I138" s="127">
        <v>-4.7</v>
      </c>
      <c r="J138" s="127">
        <v>-2.4</v>
      </c>
      <c r="K138" s="163">
        <f>-K344</f>
        <v>-5.9410747849462329</v>
      </c>
      <c r="L138" s="163">
        <f t="shared" ref="L138:O138" si="67">-L344</f>
        <v>-2.5767574952316985</v>
      </c>
      <c r="M138" s="163">
        <f t="shared" si="67"/>
        <v>-7.7604718717875691</v>
      </c>
      <c r="N138" s="163">
        <f t="shared" si="67"/>
        <v>-6.6637758172008681</v>
      </c>
      <c r="O138" s="163">
        <f t="shared" si="67"/>
        <v>-3.8836324675200098</v>
      </c>
    </row>
    <row r="139" spans="1:15">
      <c r="A139" s="21"/>
      <c r="B139" s="17"/>
      <c r="C139" s="21" t="s">
        <v>139</v>
      </c>
      <c r="F139"/>
      <c r="G139" s="65"/>
      <c r="H139" s="179">
        <f t="shared" ref="H139:O139" si="68">SUM(H135:H138)</f>
        <v>-27.8</v>
      </c>
      <c r="I139" s="179">
        <f t="shared" si="68"/>
        <v>-29.7</v>
      </c>
      <c r="J139" s="179">
        <f t="shared" si="68"/>
        <v>-27.4</v>
      </c>
      <c r="K139" s="202">
        <f t="shared" si="68"/>
        <v>-29.864057162321394</v>
      </c>
      <c r="L139" s="202">
        <f t="shared" si="68"/>
        <v>-20.910190024572149</v>
      </c>
      <c r="M139" s="202">
        <f t="shared" si="68"/>
        <v>-39.27510233311105</v>
      </c>
      <c r="N139" s="202">
        <f t="shared" si="68"/>
        <v>-32.892730449161775</v>
      </c>
      <c r="O139" s="202">
        <f t="shared" si="68"/>
        <v>-26.269656891476487</v>
      </c>
    </row>
    <row r="140" spans="1:15">
      <c r="A140" s="21"/>
      <c r="B140" s="17"/>
      <c r="F140"/>
      <c r="G140" s="65"/>
      <c r="H140" s="181"/>
      <c r="I140" s="181"/>
      <c r="J140" s="181"/>
      <c r="K140" s="181"/>
      <c r="L140" s="181"/>
      <c r="M140" s="181"/>
      <c r="N140" s="181"/>
      <c r="O140" s="181"/>
    </row>
    <row r="141" spans="1:15">
      <c r="A141" s="21"/>
      <c r="C141" s="17"/>
      <c r="F141"/>
      <c r="G141" s="65"/>
      <c r="H141" s="181"/>
      <c r="I141" s="181"/>
      <c r="J141" s="181"/>
      <c r="K141" s="181"/>
      <c r="L141" s="181"/>
      <c r="M141" s="181"/>
      <c r="N141" s="181"/>
      <c r="O141" s="181"/>
    </row>
    <row r="142" spans="1:15">
      <c r="A142" s="21"/>
      <c r="B142" s="172" t="s">
        <v>140</v>
      </c>
      <c r="C142" s="173"/>
      <c r="D142" s="109"/>
      <c r="E142" s="109"/>
      <c r="F142" s="109"/>
      <c r="G142" s="182"/>
      <c r="H142" s="183">
        <f t="shared" ref="H142:I142" si="69">H139+H131+H125</f>
        <v>-14.700000000000003</v>
      </c>
      <c r="I142" s="183">
        <f t="shared" si="69"/>
        <v>4.7000000000000028</v>
      </c>
      <c r="J142" s="183">
        <f>J139+J131+J125</f>
        <v>-20.799999999999997</v>
      </c>
      <c r="K142" s="206">
        <f t="shared" ref="K142:O142" si="70">K139+K131+K125</f>
        <v>-0.29999999999999716</v>
      </c>
      <c r="L142" s="206">
        <f t="shared" si="70"/>
        <v>0</v>
      </c>
      <c r="M142" s="206">
        <f t="shared" si="70"/>
        <v>0</v>
      </c>
      <c r="N142" s="206">
        <f t="shared" si="70"/>
        <v>1.4165088683299203</v>
      </c>
      <c r="O142" s="215">
        <f t="shared" si="70"/>
        <v>-1.4165088683299203</v>
      </c>
    </row>
    <row r="143" spans="1:15">
      <c r="A143" s="21"/>
      <c r="B143" s="110" t="s">
        <v>141</v>
      </c>
      <c r="C143" s="17"/>
      <c r="F143"/>
      <c r="G143" s="65"/>
      <c r="H143" s="184">
        <v>31.1</v>
      </c>
      <c r="I143" s="207">
        <f t="shared" ref="I143:J143" si="71">+H144</f>
        <v>16.399999999999999</v>
      </c>
      <c r="J143" s="207">
        <f t="shared" si="71"/>
        <v>21.1</v>
      </c>
      <c r="K143" s="208">
        <f t="shared" ref="K143" si="72">+J144</f>
        <v>0.30000000000000426</v>
      </c>
      <c r="L143" s="208">
        <f>+K144</f>
        <v>7.1054273576010019E-15</v>
      </c>
      <c r="M143" s="208">
        <f t="shared" ref="M143" si="73">+L144</f>
        <v>7.1054273576010019E-15</v>
      </c>
      <c r="N143" s="208">
        <f t="shared" ref="N143" si="74">+M144</f>
        <v>7.1054273576010019E-15</v>
      </c>
      <c r="O143" s="216">
        <f t="shared" ref="O143" si="75">+N144</f>
        <v>1.4165088683299274</v>
      </c>
    </row>
    <row r="144" spans="1:15">
      <c r="A144" s="21"/>
      <c r="B144" s="174" t="s">
        <v>142</v>
      </c>
      <c r="C144" s="102"/>
      <c r="D144" s="23"/>
      <c r="E144" s="23"/>
      <c r="F144" s="23"/>
      <c r="G144" s="115"/>
      <c r="H144" s="185">
        <f t="shared" ref="H144:I144" si="76">H143+H142</f>
        <v>16.399999999999999</v>
      </c>
      <c r="I144" s="185">
        <f t="shared" si="76"/>
        <v>21.1</v>
      </c>
      <c r="J144" s="185">
        <f>J143+J142</f>
        <v>0.30000000000000426</v>
      </c>
      <c r="K144" s="209">
        <f t="shared" ref="K144:O144" si="77">K143+K142</f>
        <v>7.1054273576010019E-15</v>
      </c>
      <c r="L144" s="209">
        <f t="shared" si="77"/>
        <v>7.1054273576010019E-15</v>
      </c>
      <c r="M144" s="209">
        <f t="shared" si="77"/>
        <v>7.1054273576010019E-15</v>
      </c>
      <c r="N144" s="209">
        <f t="shared" si="77"/>
        <v>1.4165088683299274</v>
      </c>
      <c r="O144" s="217">
        <f t="shared" si="77"/>
        <v>7.1054273576010019E-15</v>
      </c>
    </row>
    <row r="145" spans="1:19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9">
      <c r="F146"/>
    </row>
    <row r="147" spans="1:19" ht="12.75" customHeight="1">
      <c r="A147" s="10"/>
      <c r="B147" s="11"/>
      <c r="C147" s="9"/>
      <c r="D147" s="9"/>
      <c r="E147" s="9"/>
      <c r="F147" s="31"/>
      <c r="G147" s="9"/>
      <c r="H147" s="9"/>
      <c r="I147" s="9"/>
      <c r="J147" s="9"/>
      <c r="K147" s="9"/>
      <c r="L147" s="9"/>
      <c r="M147" s="9"/>
      <c r="N147" s="9"/>
      <c r="O147" s="98" t="str">
        <f>$O$1</f>
        <v>Currently Running : Base Case Scenario</v>
      </c>
    </row>
    <row r="148" spans="1:19" ht="22.8">
      <c r="B148" s="11" t="str">
        <f>B$2</f>
        <v>Blu Containers Company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9" ht="17.399999999999999">
      <c r="B149" s="13" t="s">
        <v>143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9" ht="3" customHeight="1">
      <c r="A150" s="12"/>
      <c r="B150" s="15"/>
      <c r="C150" s="16"/>
      <c r="D150" s="16"/>
      <c r="E150" s="16"/>
      <c r="F150" s="33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9">
      <c r="B151" s="555" t="s">
        <v>8</v>
      </c>
      <c r="F151"/>
      <c r="O151" s="18"/>
    </row>
    <row r="152" spans="1:19">
      <c r="F152"/>
      <c r="H152" s="186"/>
      <c r="I152" s="186"/>
      <c r="J152" s="186"/>
      <c r="K152" s="69" t="s">
        <v>7</v>
      </c>
      <c r="L152" s="70"/>
      <c r="M152" s="70"/>
      <c r="N152" s="70"/>
      <c r="O152" s="70"/>
    </row>
    <row r="153" spans="1:19">
      <c r="B153" s="113"/>
      <c r="F153" s="187"/>
      <c r="G153" s="139"/>
      <c r="H153" s="36">
        <f t="shared" ref="H153:O153" si="78">H$7</f>
        <v>2020</v>
      </c>
      <c r="I153" s="36">
        <f t="shared" si="78"/>
        <v>2021</v>
      </c>
      <c r="J153" s="36">
        <f t="shared" si="78"/>
        <v>2022</v>
      </c>
      <c r="K153" s="88">
        <f t="shared" si="78"/>
        <v>2023</v>
      </c>
      <c r="L153" s="88">
        <f t="shared" si="78"/>
        <v>2024</v>
      </c>
      <c r="M153" s="88">
        <f t="shared" si="78"/>
        <v>2025</v>
      </c>
      <c r="N153" s="88">
        <f t="shared" si="78"/>
        <v>2026</v>
      </c>
      <c r="O153" s="88">
        <f t="shared" si="78"/>
        <v>2027</v>
      </c>
    </row>
    <row r="154" spans="1:19">
      <c r="B154" s="113"/>
      <c r="F154"/>
      <c r="G154" s="139"/>
      <c r="H154" s="187"/>
      <c r="I154" s="187"/>
      <c r="J154" s="187"/>
      <c r="K154" s="187"/>
      <c r="L154" s="187"/>
      <c r="M154" s="187"/>
      <c r="N154" s="187"/>
      <c r="O154" s="187"/>
    </row>
    <row r="155" spans="1:19">
      <c r="B155" s="21" t="s">
        <v>144</v>
      </c>
      <c r="F155"/>
    </row>
    <row r="156" spans="1:19">
      <c r="C156" t="s">
        <v>145</v>
      </c>
      <c r="F156" s="38"/>
      <c r="G156" s="143"/>
      <c r="H156" s="178">
        <v>16.399999999999999</v>
      </c>
      <c r="I156" s="178">
        <v>21.1</v>
      </c>
      <c r="J156" s="178">
        <v>0.3</v>
      </c>
      <c r="K156" s="210">
        <f>K144</f>
        <v>7.1054273576010019E-15</v>
      </c>
      <c r="L156" s="210">
        <f t="shared" ref="L156:O156" si="79">L144</f>
        <v>7.1054273576010019E-15</v>
      </c>
      <c r="M156" s="210">
        <f t="shared" si="79"/>
        <v>7.1054273576010019E-15</v>
      </c>
      <c r="N156" s="210">
        <f t="shared" si="79"/>
        <v>1.4165088683299274</v>
      </c>
      <c r="O156" s="210">
        <f t="shared" si="79"/>
        <v>7.1054273576010019E-15</v>
      </c>
      <c r="R156" s="130"/>
      <c r="S156" s="130"/>
    </row>
    <row r="157" spans="1:19">
      <c r="C157" t="s">
        <v>71</v>
      </c>
      <c r="F157" s="38"/>
      <c r="G157" s="143"/>
      <c r="H157" s="178">
        <v>27</v>
      </c>
      <c r="I157" s="178">
        <v>27.8</v>
      </c>
      <c r="J157" s="178">
        <v>28.3</v>
      </c>
      <c r="K157" s="163">
        <f>K267</f>
        <v>33.200494918250108</v>
      </c>
      <c r="L157" s="163">
        <f t="shared" ref="L157:O157" si="80">L267</f>
        <v>28.080789762030673</v>
      </c>
      <c r="M157" s="163">
        <f t="shared" si="80"/>
        <v>30.819847513028726</v>
      </c>
      <c r="N157" s="163">
        <f t="shared" si="80"/>
        <v>30.819677190824109</v>
      </c>
      <c r="O157" s="163">
        <f t="shared" si="80"/>
        <v>29.38880772493151</v>
      </c>
    </row>
    <row r="158" spans="1:19">
      <c r="C158" t="s">
        <v>146</v>
      </c>
      <c r="F158" s="38"/>
      <c r="G158" s="143"/>
      <c r="H158" s="178">
        <v>36.5</v>
      </c>
      <c r="I158" s="178">
        <v>36.1</v>
      </c>
      <c r="J158" s="178">
        <v>35.1</v>
      </c>
      <c r="K158" s="163">
        <f t="shared" ref="K158:O160" si="81">K268</f>
        <v>33.501588599204595</v>
      </c>
      <c r="L158" s="163">
        <f t="shared" si="81"/>
        <v>32.409890750925442</v>
      </c>
      <c r="M158" s="163">
        <f t="shared" si="81"/>
        <v>31.350684269945383</v>
      </c>
      <c r="N158" s="163">
        <f t="shared" si="81"/>
        <v>32.936000675597391</v>
      </c>
      <c r="O158" s="163">
        <f t="shared" si="81"/>
        <v>31.578709681109586</v>
      </c>
    </row>
    <row r="159" spans="1:19">
      <c r="C159" t="s">
        <v>74</v>
      </c>
      <c r="F159" s="38"/>
      <c r="G159" s="188"/>
      <c r="H159" s="178">
        <v>14.6</v>
      </c>
      <c r="I159" s="178">
        <v>14.4</v>
      </c>
      <c r="J159" s="178">
        <v>14.9</v>
      </c>
      <c r="K159" s="163">
        <f t="shared" si="81"/>
        <v>14.357823685373399</v>
      </c>
      <c r="L159" s="163">
        <f t="shared" si="81"/>
        <v>14.958411115811742</v>
      </c>
      <c r="M159" s="163">
        <f t="shared" si="81"/>
        <v>15.675342134972691</v>
      </c>
      <c r="N159" s="163">
        <f t="shared" si="81"/>
        <v>16.468000337798696</v>
      </c>
      <c r="O159" s="163">
        <f t="shared" si="81"/>
        <v>17.224750735150682</v>
      </c>
    </row>
    <row r="160" spans="1:19">
      <c r="C160" s="18" t="s">
        <v>52</v>
      </c>
      <c r="F160" s="38"/>
      <c r="G160" s="188"/>
      <c r="H160" s="127">
        <v>1.4</v>
      </c>
      <c r="I160" s="127">
        <v>1.8</v>
      </c>
      <c r="J160" s="127">
        <v>1.2</v>
      </c>
      <c r="K160" s="93">
        <f t="shared" si="81"/>
        <v>1.4357823685373399</v>
      </c>
      <c r="L160" s="93">
        <f t="shared" si="81"/>
        <v>1.4958411115811741</v>
      </c>
      <c r="M160" s="93">
        <f t="shared" si="81"/>
        <v>1.5675342134972692</v>
      </c>
      <c r="N160" s="93">
        <f t="shared" si="81"/>
        <v>1.6468000337798698</v>
      </c>
      <c r="O160" s="93">
        <f t="shared" si="81"/>
        <v>1.7224750735150685</v>
      </c>
    </row>
    <row r="161" spans="2:15">
      <c r="C161" s="554" t="s">
        <v>147</v>
      </c>
      <c r="F161" s="46"/>
      <c r="G161" s="62"/>
      <c r="H161" s="189">
        <f t="shared" ref="H161:O161" si="82">SUM(H156:H160)</f>
        <v>95.9</v>
      </c>
      <c r="I161" s="189">
        <f t="shared" si="82"/>
        <v>101.2</v>
      </c>
      <c r="J161" s="189">
        <f t="shared" si="82"/>
        <v>79.800000000000011</v>
      </c>
      <c r="K161" s="163">
        <f t="shared" si="82"/>
        <v>82.49568957136546</v>
      </c>
      <c r="L161" s="163">
        <f t="shared" si="82"/>
        <v>76.944932740349032</v>
      </c>
      <c r="M161" s="163">
        <f t="shared" si="82"/>
        <v>79.413408131444072</v>
      </c>
      <c r="N161" s="163">
        <f t="shared" si="82"/>
        <v>83.286987106329988</v>
      </c>
      <c r="O161" s="163">
        <f t="shared" si="82"/>
        <v>79.91474321470686</v>
      </c>
    </row>
    <row r="162" spans="2:15">
      <c r="F162" s="62"/>
      <c r="G162" s="140"/>
      <c r="H162" s="62"/>
      <c r="I162" s="62"/>
      <c r="J162" s="211"/>
      <c r="K162" s="211"/>
      <c r="L162" s="211"/>
      <c r="M162" s="211"/>
      <c r="N162" s="211"/>
      <c r="O162" s="211"/>
    </row>
    <row r="163" spans="2:15">
      <c r="C163" t="s">
        <v>148</v>
      </c>
      <c r="F163" s="38"/>
      <c r="G163" s="188"/>
      <c r="H163" s="178">
        <v>398.5</v>
      </c>
      <c r="I163" s="178">
        <v>398</v>
      </c>
      <c r="J163" s="178">
        <v>397.7</v>
      </c>
      <c r="K163" s="163">
        <f>K216</f>
        <v>397.52533333333332</v>
      </c>
      <c r="L163" s="163">
        <f t="shared" ref="L163:O163" si="83">L216</f>
        <v>397.80066666666664</v>
      </c>
      <c r="M163" s="163">
        <f t="shared" si="83"/>
        <v>397.80433333333332</v>
      </c>
      <c r="N163" s="163">
        <f t="shared" si="83"/>
        <v>397.428</v>
      </c>
      <c r="O163" s="163">
        <f t="shared" si="83"/>
        <v>396.96</v>
      </c>
    </row>
    <row r="164" spans="2:15">
      <c r="C164" s="18" t="s">
        <v>52</v>
      </c>
      <c r="F164" s="38"/>
      <c r="G164" s="188"/>
      <c r="H164" s="127">
        <v>19</v>
      </c>
      <c r="I164" s="127">
        <v>15</v>
      </c>
      <c r="J164" s="127">
        <v>12</v>
      </c>
      <c r="K164" s="93">
        <f>J164-K130</f>
        <v>12</v>
      </c>
      <c r="L164" s="93">
        <f t="shared" ref="L164:O164" si="84">K164-L130</f>
        <v>12</v>
      </c>
      <c r="M164" s="93">
        <f t="shared" si="84"/>
        <v>12</v>
      </c>
      <c r="N164" s="93">
        <f t="shared" si="84"/>
        <v>12</v>
      </c>
      <c r="O164" s="93">
        <f t="shared" si="84"/>
        <v>12</v>
      </c>
    </row>
    <row r="165" spans="2:15">
      <c r="C165" s="17" t="s">
        <v>149</v>
      </c>
      <c r="F165" s="38"/>
      <c r="G165" s="188"/>
      <c r="H165" s="190">
        <f>SUM(H163:H164)</f>
        <v>417.5</v>
      </c>
      <c r="I165" s="190">
        <f t="shared" ref="I165:O165" si="85">SUM(I163:I164)</f>
        <v>413</v>
      </c>
      <c r="J165" s="190">
        <f t="shared" si="85"/>
        <v>409.7</v>
      </c>
      <c r="K165" s="212">
        <f t="shared" si="85"/>
        <v>409.52533333333332</v>
      </c>
      <c r="L165" s="212">
        <f t="shared" si="85"/>
        <v>409.80066666666664</v>
      </c>
      <c r="M165" s="212">
        <f t="shared" si="85"/>
        <v>409.80433333333332</v>
      </c>
      <c r="N165" s="212">
        <f t="shared" si="85"/>
        <v>409.428</v>
      </c>
      <c r="O165" s="212">
        <f t="shared" si="85"/>
        <v>408.96</v>
      </c>
    </row>
    <row r="166" spans="2:15">
      <c r="C166" s="18"/>
      <c r="F166" s="38"/>
      <c r="G166" s="188"/>
      <c r="H166" s="178"/>
      <c r="I166" s="178"/>
      <c r="J166" s="178"/>
      <c r="K166" s="213"/>
      <c r="L166" s="213"/>
      <c r="M166" s="213"/>
      <c r="N166" s="213"/>
      <c r="O166" s="213"/>
    </row>
    <row r="167" spans="2:15">
      <c r="C167" s="21" t="s">
        <v>150</v>
      </c>
      <c r="F167" s="46"/>
      <c r="G167" s="65"/>
      <c r="H167" s="191">
        <f>+H161+H165</f>
        <v>513.4</v>
      </c>
      <c r="I167" s="191">
        <f t="shared" ref="I167:O167" si="86">+I161+I165</f>
        <v>514.20000000000005</v>
      </c>
      <c r="J167" s="191">
        <f t="shared" si="86"/>
        <v>489.5</v>
      </c>
      <c r="K167" s="96">
        <f t="shared" si="86"/>
        <v>492.02102290469878</v>
      </c>
      <c r="L167" s="96">
        <f t="shared" si="86"/>
        <v>486.74559940701567</v>
      </c>
      <c r="M167" s="96">
        <f t="shared" si="86"/>
        <v>489.21774146477742</v>
      </c>
      <c r="N167" s="96">
        <f t="shared" si="86"/>
        <v>492.71498710633</v>
      </c>
      <c r="O167" s="96">
        <f t="shared" si="86"/>
        <v>488.87474321470683</v>
      </c>
    </row>
    <row r="168" spans="2:15">
      <c r="F168" s="62"/>
      <c r="G168" s="140"/>
      <c r="H168" s="62"/>
      <c r="I168" s="62"/>
      <c r="J168" s="140"/>
      <c r="K168" s="140"/>
      <c r="L168" s="140"/>
      <c r="M168" s="140"/>
      <c r="N168" s="140"/>
      <c r="O168" s="140"/>
    </row>
    <row r="169" spans="2:15">
      <c r="F169" s="62"/>
      <c r="G169" s="140"/>
      <c r="H169" s="62"/>
      <c r="I169" s="62"/>
      <c r="J169" s="140"/>
      <c r="K169" s="140"/>
      <c r="L169" s="140"/>
      <c r="M169" s="140"/>
      <c r="N169" s="140"/>
      <c r="O169" s="140"/>
    </row>
    <row r="170" spans="2:15">
      <c r="B170" s="554" t="s">
        <v>151</v>
      </c>
      <c r="F170" s="62"/>
      <c r="G170" s="140"/>
      <c r="H170" s="62"/>
      <c r="I170" s="62"/>
      <c r="J170" s="140"/>
      <c r="K170" s="140"/>
      <c r="L170" s="140"/>
      <c r="M170" s="140"/>
      <c r="N170" s="140"/>
      <c r="O170" s="140"/>
    </row>
    <row r="171" spans="2:15">
      <c r="C171" s="18" t="s">
        <v>152</v>
      </c>
      <c r="F171" s="38"/>
      <c r="G171" s="143"/>
      <c r="H171" s="178">
        <v>0</v>
      </c>
      <c r="I171" s="178">
        <v>0</v>
      </c>
      <c r="J171" s="178">
        <v>0</v>
      </c>
      <c r="K171" s="163">
        <f>K307</f>
        <v>1.0770176226248356</v>
      </c>
      <c r="L171" s="163">
        <f t="shared" ref="L171:O171" si="87">L307</f>
        <v>7.7435850932843859</v>
      </c>
      <c r="M171" s="163">
        <f t="shared" si="87"/>
        <v>1.2289546319609022</v>
      </c>
      <c r="N171" s="163">
        <f t="shared" si="87"/>
        <v>0</v>
      </c>
      <c r="O171" s="163">
        <f t="shared" si="87"/>
        <v>2.6139755760435204</v>
      </c>
    </row>
    <row r="172" spans="2:15">
      <c r="C172" s="18" t="s">
        <v>76</v>
      </c>
      <c r="F172" s="38"/>
      <c r="G172" s="143"/>
      <c r="H172" s="192">
        <v>18.3</v>
      </c>
      <c r="I172" s="192">
        <v>18.7</v>
      </c>
      <c r="J172" s="192">
        <v>18.2</v>
      </c>
      <c r="K172" s="91">
        <f>K271</f>
        <v>19.143764913831198</v>
      </c>
      <c r="L172" s="91">
        <f t="shared" ref="L172:O172" si="88">L271</f>
        <v>19.944548154415656</v>
      </c>
      <c r="M172" s="91">
        <f t="shared" si="88"/>
        <v>20.900456179963591</v>
      </c>
      <c r="N172" s="91">
        <f t="shared" si="88"/>
        <v>21.957333783731595</v>
      </c>
      <c r="O172" s="91">
        <f t="shared" si="88"/>
        <v>22.966334313534244</v>
      </c>
    </row>
    <row r="173" spans="2:15">
      <c r="C173" s="18" t="s">
        <v>52</v>
      </c>
      <c r="F173" s="38"/>
      <c r="G173" s="188"/>
      <c r="H173" s="127">
        <v>4.7</v>
      </c>
      <c r="I173" s="127">
        <v>4.9000000000000004</v>
      </c>
      <c r="J173" s="127">
        <v>4.8</v>
      </c>
      <c r="K173" s="93">
        <f>K272</f>
        <v>4.7859412284577996</v>
      </c>
      <c r="L173" s="93">
        <f t="shared" ref="L173:O173" si="89">L272</f>
        <v>4.9861370386039141</v>
      </c>
      <c r="M173" s="93">
        <f t="shared" si="89"/>
        <v>5.2251140449908977</v>
      </c>
      <c r="N173" s="93">
        <f t="shared" si="89"/>
        <v>5.4893334459328988</v>
      </c>
      <c r="O173" s="93">
        <f t="shared" si="89"/>
        <v>5.7415835783835609</v>
      </c>
    </row>
    <row r="174" spans="2:15">
      <c r="C174" s="554" t="s">
        <v>153</v>
      </c>
      <c r="F174" s="46"/>
      <c r="G174" s="62"/>
      <c r="H174" s="64">
        <f t="shared" ref="H174:O174" si="90">SUM(H171:H173)</f>
        <v>23</v>
      </c>
      <c r="I174" s="64">
        <f t="shared" si="90"/>
        <v>23.6</v>
      </c>
      <c r="J174" s="64">
        <f t="shared" si="90"/>
        <v>23</v>
      </c>
      <c r="K174" s="91">
        <f t="shared" si="90"/>
        <v>25.006723764913836</v>
      </c>
      <c r="L174" s="91">
        <f t="shared" si="90"/>
        <v>32.674270286303958</v>
      </c>
      <c r="M174" s="91">
        <f t="shared" si="90"/>
        <v>27.35452485691539</v>
      </c>
      <c r="N174" s="91">
        <f t="shared" si="90"/>
        <v>27.446667229664495</v>
      </c>
      <c r="O174" s="91">
        <f t="shared" si="90"/>
        <v>31.321893467961324</v>
      </c>
    </row>
    <row r="175" spans="2:15">
      <c r="F175" s="62"/>
      <c r="G175" s="140"/>
      <c r="H175" s="62"/>
      <c r="I175" s="62"/>
      <c r="J175" s="140"/>
      <c r="K175" s="140"/>
      <c r="L175" s="140"/>
      <c r="M175" s="189"/>
      <c r="N175" s="140"/>
      <c r="O175" s="140"/>
    </row>
    <row r="176" spans="2:15">
      <c r="C176" t="s">
        <v>121</v>
      </c>
      <c r="F176" s="38"/>
      <c r="G176" s="140"/>
      <c r="H176" s="193">
        <v>0.7</v>
      </c>
      <c r="I176" s="193">
        <v>6.9</v>
      </c>
      <c r="J176" s="193">
        <v>8</v>
      </c>
      <c r="K176" s="163">
        <f>J176+K238</f>
        <v>9.75</v>
      </c>
      <c r="L176" s="163">
        <f t="shared" ref="L176:O176" si="91">K176+L238</f>
        <v>11.5</v>
      </c>
      <c r="M176" s="163">
        <f t="shared" si="91"/>
        <v>13.25</v>
      </c>
      <c r="N176" s="163">
        <f t="shared" si="91"/>
        <v>15</v>
      </c>
      <c r="O176" s="163">
        <f t="shared" si="91"/>
        <v>16.75</v>
      </c>
    </row>
    <row r="177" spans="1:15">
      <c r="C177" s="18" t="s">
        <v>154</v>
      </c>
      <c r="F177" s="38"/>
      <c r="G177" s="194"/>
      <c r="H177" s="127">
        <v>250</v>
      </c>
      <c r="I177" s="127">
        <v>225</v>
      </c>
      <c r="J177" s="127">
        <v>200</v>
      </c>
      <c r="K177" s="93">
        <f>K319</f>
        <v>175</v>
      </c>
      <c r="L177" s="93">
        <f t="shared" ref="L177:O177" si="92">L319</f>
        <v>150</v>
      </c>
      <c r="M177" s="93">
        <f t="shared" si="92"/>
        <v>125</v>
      </c>
      <c r="N177" s="93">
        <f t="shared" si="92"/>
        <v>100</v>
      </c>
      <c r="O177" s="93">
        <f t="shared" si="92"/>
        <v>75</v>
      </c>
    </row>
    <row r="178" spans="1:15">
      <c r="C178" s="17" t="s">
        <v>155</v>
      </c>
      <c r="F178" s="46"/>
      <c r="G178" s="143"/>
      <c r="H178" s="189">
        <f t="shared" ref="H178:O178" si="93">SUM(H176:H177)</f>
        <v>250.7</v>
      </c>
      <c r="I178" s="189">
        <f t="shared" si="93"/>
        <v>231.9</v>
      </c>
      <c r="J178" s="189">
        <f t="shared" si="93"/>
        <v>208</v>
      </c>
      <c r="K178" s="163">
        <f t="shared" si="93"/>
        <v>184.75</v>
      </c>
      <c r="L178" s="163">
        <f t="shared" si="93"/>
        <v>161.5</v>
      </c>
      <c r="M178" s="163">
        <f t="shared" si="93"/>
        <v>138.25</v>
      </c>
      <c r="N178" s="163">
        <f t="shared" si="93"/>
        <v>115</v>
      </c>
      <c r="O178" s="163">
        <f t="shared" si="93"/>
        <v>91.75</v>
      </c>
    </row>
    <row r="179" spans="1:15">
      <c r="C179" s="17"/>
      <c r="F179" s="62"/>
      <c r="G179" s="140"/>
      <c r="H179" s="62"/>
      <c r="I179" s="62"/>
      <c r="J179" s="140"/>
      <c r="K179" s="140"/>
      <c r="L179" s="140"/>
      <c r="M179" s="140"/>
      <c r="N179" s="140"/>
      <c r="O179" s="140"/>
    </row>
    <row r="180" spans="1:15">
      <c r="C180" s="17" t="s">
        <v>156</v>
      </c>
      <c r="F180" s="46"/>
      <c r="G180" s="65"/>
      <c r="H180" s="61">
        <f t="shared" ref="H180:O180" si="94">H178+H174</f>
        <v>273.7</v>
      </c>
      <c r="I180" s="61">
        <f t="shared" si="94"/>
        <v>255.5</v>
      </c>
      <c r="J180" s="61">
        <f t="shared" si="94"/>
        <v>231</v>
      </c>
      <c r="K180" s="94">
        <f t="shared" si="94"/>
        <v>209.75672376491383</v>
      </c>
      <c r="L180" s="94">
        <f t="shared" si="94"/>
        <v>194.17427028630397</v>
      </c>
      <c r="M180" s="94">
        <f t="shared" si="94"/>
        <v>165.60452485691539</v>
      </c>
      <c r="N180" s="94">
        <f t="shared" si="94"/>
        <v>142.44666722966448</v>
      </c>
      <c r="O180" s="94">
        <f t="shared" si="94"/>
        <v>123.07189346796133</v>
      </c>
    </row>
    <row r="181" spans="1:15">
      <c r="F181" s="62"/>
      <c r="G181" s="62"/>
      <c r="H181" s="62"/>
      <c r="I181" s="62"/>
      <c r="J181" s="140"/>
      <c r="K181" s="140"/>
      <c r="L181" s="140"/>
      <c r="M181" s="140"/>
      <c r="N181" s="140"/>
      <c r="O181" s="140"/>
    </row>
    <row r="182" spans="1:15">
      <c r="C182" t="s">
        <v>157</v>
      </c>
      <c r="F182" s="38"/>
      <c r="G182" s="62"/>
      <c r="H182" s="178">
        <v>120</v>
      </c>
      <c r="I182" s="178">
        <v>120</v>
      </c>
      <c r="J182" s="178">
        <v>120</v>
      </c>
      <c r="K182" s="163">
        <f>K340</f>
        <v>120</v>
      </c>
      <c r="L182" s="163">
        <f t="shared" ref="L182:O182" si="95">L340</f>
        <v>120</v>
      </c>
      <c r="M182" s="163">
        <f t="shared" si="95"/>
        <v>120</v>
      </c>
      <c r="N182" s="163">
        <f t="shared" si="95"/>
        <v>120</v>
      </c>
      <c r="O182" s="163">
        <f t="shared" si="95"/>
        <v>120</v>
      </c>
    </row>
    <row r="183" spans="1:15">
      <c r="C183" t="s">
        <v>158</v>
      </c>
      <c r="F183" s="38"/>
      <c r="G183" s="195"/>
      <c r="H183" s="127">
        <v>119.7</v>
      </c>
      <c r="I183" s="127">
        <v>138.69999999999999</v>
      </c>
      <c r="J183" s="127">
        <v>138.5</v>
      </c>
      <c r="K183" s="93">
        <f>K351</f>
        <v>162.26429913978492</v>
      </c>
      <c r="L183" s="93">
        <f t="shared" ref="L183:O183" si="96">L351</f>
        <v>172.57132912071171</v>
      </c>
      <c r="M183" s="93">
        <f t="shared" si="96"/>
        <v>203.613216607862</v>
      </c>
      <c r="N183" s="93">
        <f t="shared" si="96"/>
        <v>230.26831987666546</v>
      </c>
      <c r="O183" s="93">
        <f t="shared" si="96"/>
        <v>245.80284974674549</v>
      </c>
    </row>
    <row r="184" spans="1:15">
      <c r="C184" s="554" t="s">
        <v>159</v>
      </c>
      <c r="F184" s="46"/>
      <c r="G184" s="143"/>
      <c r="H184" s="145">
        <f>SUM(H182:H183)</f>
        <v>239.7</v>
      </c>
      <c r="I184" s="145">
        <f>SUM(I182:I183)</f>
        <v>258.7</v>
      </c>
      <c r="J184" s="145">
        <f t="shared" ref="J184:O184" si="97">SUM(J182:J183)</f>
        <v>258.5</v>
      </c>
      <c r="K184" s="165">
        <f t="shared" si="97"/>
        <v>282.26429913978495</v>
      </c>
      <c r="L184" s="165">
        <f t="shared" si="97"/>
        <v>292.57132912071171</v>
      </c>
      <c r="M184" s="165">
        <f t="shared" si="97"/>
        <v>323.613216607862</v>
      </c>
      <c r="N184" s="165">
        <f t="shared" si="97"/>
        <v>350.26831987666549</v>
      </c>
      <c r="O184" s="165">
        <f t="shared" si="97"/>
        <v>365.80284974674549</v>
      </c>
    </row>
    <row r="185" spans="1:15">
      <c r="F185" s="62"/>
      <c r="G185" s="62"/>
      <c r="H185" s="140"/>
      <c r="I185" s="140"/>
      <c r="J185" s="140"/>
      <c r="K185" s="140"/>
      <c r="L185" s="140"/>
      <c r="M185" s="140"/>
      <c r="N185" s="140"/>
      <c r="O185" s="140"/>
    </row>
    <row r="186" spans="1:15">
      <c r="B186" s="554" t="s">
        <v>160</v>
      </c>
      <c r="F186" s="46"/>
      <c r="G186" s="65"/>
      <c r="H186" s="191">
        <f>H184+H180</f>
        <v>513.4</v>
      </c>
      <c r="I186" s="191">
        <f>I184+I180</f>
        <v>514.20000000000005</v>
      </c>
      <c r="J186" s="191">
        <f t="shared" ref="J186:O186" si="98">J184+J180</f>
        <v>489.5</v>
      </c>
      <c r="K186" s="96">
        <f t="shared" si="98"/>
        <v>492.02102290469878</v>
      </c>
      <c r="L186" s="96">
        <f t="shared" si="98"/>
        <v>486.74559940701567</v>
      </c>
      <c r="M186" s="96">
        <f t="shared" si="98"/>
        <v>489.21774146477742</v>
      </c>
      <c r="N186" s="96">
        <f t="shared" si="98"/>
        <v>492.71498710633</v>
      </c>
      <c r="O186" s="96">
        <f t="shared" si="98"/>
        <v>488.87474321470683</v>
      </c>
    </row>
    <row r="187" spans="1:15">
      <c r="F187" s="196"/>
      <c r="G187" s="196"/>
      <c r="H187" s="197"/>
      <c r="I187" s="197"/>
      <c r="J187" s="197"/>
      <c r="K187" s="197"/>
      <c r="L187" s="197"/>
      <c r="M187" s="197"/>
      <c r="N187" s="197"/>
      <c r="O187" s="197"/>
    </row>
    <row r="188" spans="1:15">
      <c r="B188" s="113"/>
      <c r="D188" s="104" t="s">
        <v>161</v>
      </c>
      <c r="F188" s="198"/>
      <c r="G188" s="198"/>
      <c r="H188" s="199">
        <f>ROUND(H167-H186,3)</f>
        <v>0</v>
      </c>
      <c r="I188" s="199">
        <f t="shared" ref="I188:O188" si="99">ROUND(I167-I186,3)</f>
        <v>0</v>
      </c>
      <c r="J188" s="199">
        <f t="shared" si="99"/>
        <v>0</v>
      </c>
      <c r="K188" s="199">
        <f t="shared" si="99"/>
        <v>0</v>
      </c>
      <c r="L188" s="199">
        <f t="shared" si="99"/>
        <v>0</v>
      </c>
      <c r="M188" s="199">
        <f t="shared" si="99"/>
        <v>0</v>
      </c>
      <c r="N188" s="199">
        <f t="shared" si="99"/>
        <v>0</v>
      </c>
      <c r="O188" s="199">
        <f t="shared" si="99"/>
        <v>0</v>
      </c>
    </row>
    <row r="189" spans="1:15">
      <c r="B189" s="175"/>
      <c r="C189" s="23"/>
      <c r="D189" s="23"/>
      <c r="E189" s="23"/>
      <c r="F189" s="23"/>
      <c r="G189" s="23"/>
      <c r="H189" s="23"/>
      <c r="I189" s="23"/>
      <c r="J189" s="23"/>
      <c r="K189" s="214"/>
      <c r="L189" s="214"/>
      <c r="M189" s="214"/>
      <c r="N189" s="214"/>
      <c r="O189" s="214"/>
    </row>
    <row r="190" spans="1:15">
      <c r="F190"/>
    </row>
    <row r="191" spans="1:15" ht="12.75" customHeight="1">
      <c r="A191" s="10"/>
      <c r="B191" s="11"/>
      <c r="C191" s="9"/>
      <c r="D191" s="9"/>
      <c r="E191" s="9"/>
      <c r="F191" s="31"/>
      <c r="G191" s="9"/>
      <c r="H191" s="9"/>
      <c r="I191" s="9"/>
      <c r="J191" s="9"/>
      <c r="K191" s="9"/>
      <c r="L191" s="9"/>
      <c r="M191" s="9"/>
      <c r="N191" s="9"/>
      <c r="O191" s="98" t="str">
        <f>$O$1</f>
        <v>Currently Running : Base Case Scenario</v>
      </c>
    </row>
    <row r="192" spans="1:15" ht="22.65" customHeight="1">
      <c r="B192" s="176" t="str">
        <f>B$2</f>
        <v>Blu Containers Company</v>
      </c>
      <c r="C192" s="177"/>
      <c r="D192" s="177"/>
      <c r="E192" s="200"/>
      <c r="F192" s="200"/>
      <c r="G192" s="201"/>
      <c r="H192" s="201"/>
      <c r="I192" s="201"/>
      <c r="J192" s="201"/>
      <c r="K192" s="201"/>
      <c r="L192" s="201"/>
      <c r="M192" s="201"/>
      <c r="N192" s="201"/>
      <c r="O192" s="201"/>
    </row>
    <row r="193" spans="1:243" ht="17.399999999999999">
      <c r="B193" s="13" t="s">
        <v>269</v>
      </c>
      <c r="C193" s="13"/>
      <c r="D193" s="13"/>
      <c r="E193" s="235"/>
      <c r="F193" s="235"/>
      <c r="G193" s="13"/>
      <c r="H193" s="13"/>
      <c r="I193" s="13"/>
      <c r="J193" s="13"/>
      <c r="K193" s="13"/>
      <c r="L193" s="13"/>
      <c r="M193" s="13"/>
      <c r="N193" s="13"/>
      <c r="O193" s="13"/>
    </row>
    <row r="194" spans="1:243" ht="3" customHeight="1">
      <c r="A194" s="12"/>
      <c r="B194" s="15"/>
      <c r="C194" s="16"/>
      <c r="D194" s="16"/>
      <c r="E194" s="16"/>
      <c r="F194" s="33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243">
      <c r="B195" s="555" t="s">
        <v>8</v>
      </c>
      <c r="C195" s="113"/>
      <c r="E195" s="6"/>
      <c r="G195" s="113"/>
    </row>
    <row r="196" spans="1:243">
      <c r="E196" s="6"/>
      <c r="K196" s="69" t="s">
        <v>7</v>
      </c>
      <c r="L196" s="266"/>
      <c r="M196" s="266"/>
      <c r="N196" s="266"/>
      <c r="O196" s="266"/>
    </row>
    <row r="197" spans="1:243">
      <c r="C197" s="21"/>
      <c r="D197" s="21"/>
      <c r="E197" s="60"/>
      <c r="F197" s="236"/>
      <c r="G197" s="187"/>
      <c r="H197" s="36">
        <f t="shared" ref="H197:O197" si="100">H$7</f>
        <v>2020</v>
      </c>
      <c r="I197" s="36">
        <f t="shared" si="100"/>
        <v>2021</v>
      </c>
      <c r="J197" s="36">
        <f t="shared" si="100"/>
        <v>2022</v>
      </c>
      <c r="K197" s="267">
        <f t="shared" si="100"/>
        <v>2023</v>
      </c>
      <c r="L197" s="267">
        <f t="shared" si="100"/>
        <v>2024</v>
      </c>
      <c r="M197" s="267">
        <f t="shared" si="100"/>
        <v>2025</v>
      </c>
      <c r="N197" s="267">
        <f t="shared" si="100"/>
        <v>2026</v>
      </c>
      <c r="O197" s="267">
        <f t="shared" si="100"/>
        <v>2027</v>
      </c>
    </row>
    <row r="198" spans="1:243">
      <c r="C198" s="596" t="s">
        <v>267</v>
      </c>
      <c r="D198" s="596"/>
      <c r="E198" s="596"/>
    </row>
    <row r="199" spans="1:243" ht="13.35" customHeight="1">
      <c r="A199" s="218"/>
      <c r="B199" s="219" t="s">
        <v>163</v>
      </c>
      <c r="C199" s="109"/>
      <c r="D199" s="109"/>
      <c r="E199" s="109"/>
      <c r="F199" s="237">
        <f>Assumptions!H39</f>
        <v>25</v>
      </c>
      <c r="K199" s="268"/>
      <c r="L199" s="243"/>
      <c r="M199" s="243"/>
      <c r="N199" s="243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  <c r="AN199" s="282"/>
      <c r="AO199" s="282"/>
      <c r="AP199" s="282"/>
      <c r="AQ199" s="282"/>
      <c r="AR199" s="282"/>
      <c r="AS199" s="282"/>
      <c r="AT199" s="282"/>
      <c r="AU199" s="282"/>
      <c r="AV199" s="282"/>
      <c r="AW199" s="282"/>
      <c r="AX199" s="282"/>
      <c r="AY199" s="282"/>
      <c r="AZ199" s="282"/>
      <c r="BA199" s="282"/>
      <c r="BB199" s="282"/>
      <c r="BC199" s="282"/>
      <c r="BD199" s="282"/>
      <c r="BE199" s="282"/>
      <c r="BF199" s="282"/>
      <c r="BG199" s="282"/>
      <c r="BH199" s="282"/>
      <c r="BI199" s="282"/>
      <c r="BJ199" s="282"/>
      <c r="BK199" s="282"/>
      <c r="BL199" s="282"/>
      <c r="BM199" s="282"/>
      <c r="BN199" s="282"/>
      <c r="BO199" s="282"/>
      <c r="BP199" s="282"/>
      <c r="BQ199" s="282"/>
      <c r="BR199" s="282"/>
      <c r="BS199" s="282"/>
      <c r="BT199" s="282"/>
      <c r="BU199" s="282"/>
      <c r="BV199" s="282"/>
      <c r="BW199" s="282"/>
      <c r="BX199" s="282"/>
      <c r="BY199" s="282"/>
      <c r="BZ199" s="282"/>
      <c r="CA199" s="282"/>
      <c r="CB199" s="282"/>
      <c r="CC199" s="282"/>
      <c r="CD199" s="282"/>
      <c r="CE199" s="282"/>
      <c r="CF199" s="282"/>
      <c r="CG199" s="282"/>
      <c r="CH199" s="282"/>
      <c r="CI199" s="282"/>
      <c r="CJ199" s="282"/>
      <c r="CK199" s="282"/>
      <c r="CL199" s="282"/>
      <c r="CM199" s="282"/>
      <c r="CN199" s="282"/>
      <c r="CO199" s="282"/>
      <c r="CP199" s="282"/>
      <c r="CQ199" s="282"/>
      <c r="CR199" s="282"/>
      <c r="CS199" s="282"/>
      <c r="CT199" s="282"/>
      <c r="CU199" s="282"/>
      <c r="CV199" s="282"/>
      <c r="CW199" s="282"/>
      <c r="CX199" s="282"/>
      <c r="CY199" s="282"/>
      <c r="CZ199" s="282"/>
      <c r="DA199" s="282"/>
      <c r="DB199" s="282"/>
      <c r="DC199" s="282"/>
      <c r="DD199" s="282"/>
      <c r="DE199" s="282"/>
      <c r="DF199" s="282"/>
      <c r="DG199" s="282"/>
      <c r="DH199" s="282"/>
      <c r="DI199" s="282"/>
      <c r="DJ199" s="282"/>
      <c r="DK199" s="282"/>
      <c r="DL199" s="282"/>
      <c r="DM199" s="282"/>
      <c r="DN199" s="282"/>
      <c r="DO199" s="282"/>
      <c r="DP199" s="282"/>
      <c r="DQ199" s="282"/>
      <c r="DR199" s="282"/>
      <c r="DS199" s="282"/>
      <c r="DT199" s="282"/>
      <c r="DU199" s="282"/>
      <c r="DV199" s="282"/>
      <c r="DW199" s="282"/>
      <c r="DX199" s="282"/>
      <c r="DY199" s="282"/>
      <c r="DZ199" s="282"/>
      <c r="EA199" s="282"/>
      <c r="EB199" s="282"/>
      <c r="EC199" s="282"/>
      <c r="ED199" s="282"/>
      <c r="EE199" s="282"/>
      <c r="EF199" s="282"/>
      <c r="EG199" s="282"/>
      <c r="EH199" s="282"/>
      <c r="EI199" s="282"/>
      <c r="EJ199" s="282"/>
      <c r="EK199" s="282"/>
      <c r="EL199" s="282"/>
      <c r="EM199" s="282"/>
      <c r="EN199" s="282"/>
      <c r="EO199" s="282"/>
      <c r="EP199" s="282"/>
      <c r="EQ199" s="282"/>
      <c r="ER199" s="282"/>
      <c r="ES199" s="282"/>
      <c r="ET199" s="282"/>
      <c r="EU199" s="282"/>
      <c r="EV199" s="282"/>
      <c r="EW199" s="282"/>
      <c r="EX199" s="282"/>
      <c r="EY199" s="282"/>
      <c r="EZ199" s="282"/>
      <c r="FA199" s="282"/>
      <c r="FB199" s="282"/>
      <c r="FC199" s="282"/>
      <c r="FD199" s="282"/>
      <c r="FE199" s="282"/>
      <c r="FF199" s="282"/>
      <c r="FG199" s="282"/>
      <c r="FH199" s="282"/>
      <c r="FI199" s="282"/>
      <c r="FJ199" s="282"/>
      <c r="FK199" s="282"/>
      <c r="FL199" s="282"/>
      <c r="FM199" s="282"/>
      <c r="FN199" s="282"/>
      <c r="FO199" s="282"/>
      <c r="FP199" s="282"/>
      <c r="FQ199" s="282"/>
      <c r="FR199" s="282"/>
      <c r="FS199" s="282"/>
      <c r="FT199" s="282"/>
      <c r="FU199" s="282"/>
      <c r="FV199" s="282"/>
      <c r="FW199" s="282"/>
      <c r="FX199" s="282"/>
      <c r="FY199" s="282"/>
      <c r="FZ199" s="282"/>
      <c r="GA199" s="282"/>
      <c r="GB199" s="282"/>
      <c r="GC199" s="282"/>
      <c r="GD199" s="282"/>
      <c r="GE199" s="282"/>
      <c r="GF199" s="282"/>
      <c r="GG199" s="282"/>
      <c r="GH199" s="282"/>
      <c r="GI199" s="282"/>
      <c r="GJ199" s="282"/>
      <c r="GK199" s="282"/>
      <c r="GL199" s="282"/>
      <c r="GM199" s="282"/>
      <c r="GN199" s="282"/>
      <c r="GO199" s="282"/>
      <c r="GP199" s="282"/>
      <c r="GQ199" s="282"/>
      <c r="GR199" s="282"/>
      <c r="GS199" s="282"/>
      <c r="GT199" s="282"/>
      <c r="GU199" s="282"/>
      <c r="GV199" s="282"/>
      <c r="GW199" s="282"/>
      <c r="GX199" s="282"/>
      <c r="GY199" s="282"/>
      <c r="GZ199" s="282"/>
      <c r="HA199" s="282"/>
      <c r="HB199" s="282"/>
      <c r="HC199" s="282"/>
      <c r="HD199" s="282"/>
      <c r="HE199" s="282"/>
      <c r="HF199" s="282"/>
      <c r="HG199" s="282"/>
      <c r="HH199" s="282"/>
      <c r="HI199" s="282"/>
      <c r="HJ199" s="282"/>
      <c r="HK199" s="282"/>
      <c r="HL199" s="282"/>
      <c r="HM199" s="282"/>
      <c r="HN199" s="282"/>
      <c r="HO199" s="282"/>
      <c r="HP199" s="282"/>
      <c r="HQ199" s="282"/>
      <c r="HR199" s="282"/>
      <c r="HS199" s="282"/>
      <c r="HT199" s="282"/>
      <c r="HU199" s="282"/>
      <c r="HV199" s="282"/>
      <c r="HW199" s="282"/>
      <c r="HX199" s="282"/>
      <c r="HY199" s="282"/>
      <c r="HZ199" s="282"/>
      <c r="IA199" s="282"/>
      <c r="IB199" s="282"/>
      <c r="IC199" s="282"/>
      <c r="ID199" s="282"/>
      <c r="IE199" s="282"/>
      <c r="IF199" s="282"/>
      <c r="IG199" s="282"/>
      <c r="IH199" s="282"/>
      <c r="II199" s="282"/>
    </row>
    <row r="200" spans="1:243" ht="13.35" customHeight="1">
      <c r="A200" s="218"/>
      <c r="B200" s="220" t="s">
        <v>164</v>
      </c>
      <c r="C200" s="23"/>
      <c r="D200" s="221"/>
      <c r="E200" s="238"/>
      <c r="F200" s="239">
        <f>Assumptions!H40</f>
        <v>30</v>
      </c>
      <c r="I200" s="593" t="s">
        <v>264</v>
      </c>
      <c r="K200" s="268"/>
      <c r="L200" s="243"/>
      <c r="M200" s="243"/>
      <c r="N200" s="243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282"/>
      <c r="AW200" s="282"/>
      <c r="AX200" s="282"/>
      <c r="AY200" s="282"/>
      <c r="AZ200" s="282"/>
      <c r="BA200" s="282"/>
      <c r="BB200" s="282"/>
      <c r="BC200" s="282"/>
      <c r="BD200" s="282"/>
      <c r="BE200" s="282"/>
      <c r="BF200" s="282"/>
      <c r="BG200" s="282"/>
      <c r="BH200" s="282"/>
      <c r="BI200" s="282"/>
      <c r="BJ200" s="282"/>
      <c r="BK200" s="282"/>
      <c r="BL200" s="282"/>
      <c r="BM200" s="282"/>
      <c r="BN200" s="282"/>
      <c r="BO200" s="282"/>
      <c r="BP200" s="282"/>
      <c r="BQ200" s="282"/>
      <c r="BR200" s="282"/>
      <c r="BS200" s="282"/>
      <c r="BT200" s="282"/>
      <c r="BU200" s="282"/>
      <c r="BV200" s="282"/>
      <c r="BW200" s="282"/>
      <c r="BX200" s="282"/>
      <c r="BY200" s="282"/>
      <c r="BZ200" s="282"/>
      <c r="CA200" s="282"/>
      <c r="CB200" s="282"/>
      <c r="CC200" s="282"/>
      <c r="CD200" s="282"/>
      <c r="CE200" s="282"/>
      <c r="CF200" s="282"/>
      <c r="CG200" s="282"/>
      <c r="CH200" s="282"/>
      <c r="CI200" s="282"/>
      <c r="CJ200" s="282"/>
      <c r="CK200" s="282"/>
      <c r="CL200" s="282"/>
      <c r="CM200" s="282"/>
      <c r="CN200" s="282"/>
      <c r="CO200" s="282"/>
      <c r="CP200" s="282"/>
      <c r="CQ200" s="282"/>
      <c r="CR200" s="282"/>
      <c r="CS200" s="282"/>
      <c r="CT200" s="282"/>
      <c r="CU200" s="282"/>
      <c r="CV200" s="282"/>
      <c r="CW200" s="282"/>
      <c r="CX200" s="282"/>
      <c r="CY200" s="282"/>
      <c r="CZ200" s="282"/>
      <c r="DA200" s="282"/>
      <c r="DB200" s="282"/>
      <c r="DC200" s="282"/>
      <c r="DD200" s="282"/>
      <c r="DE200" s="282"/>
      <c r="DF200" s="282"/>
      <c r="DG200" s="282"/>
      <c r="DH200" s="282"/>
      <c r="DI200" s="282"/>
      <c r="DJ200" s="282"/>
      <c r="DK200" s="282"/>
      <c r="DL200" s="282"/>
      <c r="DM200" s="282"/>
      <c r="DN200" s="282"/>
      <c r="DO200" s="282"/>
      <c r="DP200" s="282"/>
      <c r="DQ200" s="282"/>
      <c r="DR200" s="282"/>
      <c r="DS200" s="282"/>
      <c r="DT200" s="282"/>
      <c r="DU200" s="282"/>
      <c r="DV200" s="282"/>
      <c r="DW200" s="282"/>
      <c r="DX200" s="282"/>
      <c r="DY200" s="282"/>
      <c r="DZ200" s="282"/>
      <c r="EA200" s="282"/>
      <c r="EB200" s="282"/>
      <c r="EC200" s="282"/>
      <c r="ED200" s="282"/>
      <c r="EE200" s="282"/>
      <c r="EF200" s="282"/>
      <c r="EG200" s="282"/>
      <c r="EH200" s="282"/>
      <c r="EI200" s="282"/>
      <c r="EJ200" s="282"/>
      <c r="EK200" s="282"/>
      <c r="EL200" s="282"/>
      <c r="EM200" s="282"/>
      <c r="EN200" s="282"/>
      <c r="EO200" s="282"/>
      <c r="EP200" s="282"/>
      <c r="EQ200" s="282"/>
      <c r="ER200" s="282"/>
      <c r="ES200" s="282"/>
      <c r="ET200" s="282"/>
      <c r="EU200" s="282"/>
      <c r="EV200" s="282"/>
      <c r="EW200" s="282"/>
      <c r="EX200" s="282"/>
      <c r="EY200" s="282"/>
      <c r="EZ200" s="282"/>
      <c r="FA200" s="282"/>
      <c r="FB200" s="282"/>
      <c r="FC200" s="282"/>
      <c r="FD200" s="282"/>
      <c r="FE200" s="282"/>
      <c r="FF200" s="282"/>
      <c r="FG200" s="282"/>
      <c r="FH200" s="282"/>
      <c r="FI200" s="282"/>
      <c r="FJ200" s="282"/>
      <c r="FK200" s="282"/>
      <c r="FL200" s="282"/>
      <c r="FM200" s="282"/>
      <c r="FN200" s="282"/>
      <c r="FO200" s="282"/>
      <c r="FP200" s="282"/>
      <c r="FQ200" s="282"/>
      <c r="FR200" s="282"/>
      <c r="FS200" s="282"/>
      <c r="FT200" s="282"/>
      <c r="FU200" s="282"/>
      <c r="FV200" s="282"/>
      <c r="FW200" s="282"/>
      <c r="FX200" s="282"/>
      <c r="FY200" s="282"/>
      <c r="FZ200" s="282"/>
      <c r="GA200" s="282"/>
      <c r="GB200" s="282"/>
      <c r="GC200" s="282"/>
      <c r="GD200" s="282"/>
      <c r="GE200" s="282"/>
      <c r="GF200" s="282"/>
      <c r="GG200" s="282"/>
      <c r="GH200" s="282"/>
      <c r="GI200" s="282"/>
      <c r="GJ200" s="282"/>
      <c r="GK200" s="282"/>
      <c r="GL200" s="282"/>
      <c r="GM200" s="282"/>
      <c r="GN200" s="282"/>
      <c r="GO200" s="282"/>
      <c r="GP200" s="282"/>
      <c r="GQ200" s="282"/>
      <c r="GR200" s="282"/>
      <c r="GS200" s="282"/>
      <c r="GT200" s="282"/>
      <c r="GU200" s="282"/>
      <c r="GV200" s="282"/>
      <c r="GW200" s="282"/>
      <c r="GX200" s="282"/>
      <c r="GY200" s="282"/>
      <c r="GZ200" s="282"/>
      <c r="HA200" s="282"/>
      <c r="HB200" s="282"/>
      <c r="HC200" s="282"/>
      <c r="HD200" s="282"/>
      <c r="HE200" s="282"/>
      <c r="HF200" s="282"/>
      <c r="HG200" s="282"/>
      <c r="HH200" s="282"/>
      <c r="HI200" s="282"/>
      <c r="HJ200" s="282"/>
      <c r="HK200" s="282"/>
      <c r="HL200" s="282"/>
      <c r="HM200" s="282"/>
      <c r="HN200" s="282"/>
      <c r="HO200" s="282"/>
      <c r="HP200" s="282"/>
      <c r="HQ200" s="282"/>
      <c r="HR200" s="282"/>
      <c r="HS200" s="282"/>
      <c r="HT200" s="282"/>
      <c r="HU200" s="282"/>
      <c r="HV200" s="282"/>
      <c r="HW200" s="282"/>
      <c r="HX200" s="282"/>
      <c r="HY200" s="282"/>
      <c r="HZ200" s="282"/>
      <c r="IA200" s="282"/>
      <c r="IB200" s="282"/>
      <c r="IC200" s="282"/>
      <c r="ID200" s="282"/>
      <c r="IE200" s="282"/>
      <c r="IF200" s="282"/>
      <c r="IG200" s="282"/>
      <c r="IH200" s="282"/>
      <c r="II200" s="282"/>
    </row>
    <row r="201" spans="1:243" ht="12.75" customHeight="1">
      <c r="F201"/>
      <c r="K201" s="269"/>
    </row>
    <row r="202" spans="1:243" ht="12.75" customHeight="1">
      <c r="D202" s="224" t="s">
        <v>271</v>
      </c>
      <c r="F202"/>
      <c r="K202" s="271">
        <f>J216</f>
        <v>397.7</v>
      </c>
      <c r="L202" s="271">
        <f t="shared" ref="L202:O202" si="101">K216</f>
        <v>397.52533333333332</v>
      </c>
      <c r="M202" s="271">
        <f t="shared" si="101"/>
        <v>397.80066666666664</v>
      </c>
      <c r="N202" s="271">
        <f t="shared" si="101"/>
        <v>397.80433333333332</v>
      </c>
      <c r="O202" s="271">
        <f t="shared" si="101"/>
        <v>397.428</v>
      </c>
    </row>
    <row r="203" spans="1:243" ht="12.75" customHeight="1">
      <c r="D203" s="601" t="s">
        <v>272</v>
      </c>
      <c r="F203"/>
      <c r="K203" s="271">
        <f>-K129</f>
        <v>16</v>
      </c>
      <c r="L203" s="271">
        <f t="shared" ref="L203:O203" si="102">-L129</f>
        <v>17</v>
      </c>
      <c r="M203" s="271">
        <f t="shared" si="102"/>
        <v>17.3</v>
      </c>
      <c r="N203" s="271">
        <f t="shared" si="102"/>
        <v>17.5</v>
      </c>
      <c r="O203" s="271">
        <f t="shared" si="102"/>
        <v>18</v>
      </c>
    </row>
    <row r="204" spans="1:243" ht="12.75" customHeight="1">
      <c r="F204"/>
      <c r="K204" s="271"/>
    </row>
    <row r="205" spans="1:243">
      <c r="A205" s="569">
        <v>1</v>
      </c>
      <c r="D205" t="s">
        <v>165</v>
      </c>
      <c r="F205"/>
      <c r="H205" s="240"/>
      <c r="I205" s="240"/>
      <c r="J205" s="240"/>
      <c r="K205" s="270">
        <f>J163/F199</f>
        <v>15.907999999999999</v>
      </c>
      <c r="L205" s="271">
        <f>K205</f>
        <v>15.907999999999999</v>
      </c>
      <c r="M205" s="271">
        <f>L205</f>
        <v>15.907999999999999</v>
      </c>
      <c r="N205" s="271">
        <f>M205</f>
        <v>15.907999999999999</v>
      </c>
      <c r="O205" s="271">
        <f>N205</f>
        <v>15.907999999999999</v>
      </c>
    </row>
    <row r="206" spans="1:243">
      <c r="F206"/>
    </row>
    <row r="207" spans="1:243">
      <c r="A207" s="569">
        <v>2</v>
      </c>
      <c r="D207" s="222" t="s">
        <v>132</v>
      </c>
      <c r="F207"/>
      <c r="J207" s="600" t="s">
        <v>265</v>
      </c>
      <c r="K207" s="596"/>
      <c r="L207" s="596"/>
      <c r="M207" s="596"/>
      <c r="N207" s="596"/>
      <c r="O207" s="596"/>
      <c r="P207" s="596"/>
    </row>
    <row r="208" spans="1:243">
      <c r="D208" s="223">
        <f>K197</f>
        <v>2023</v>
      </c>
      <c r="E208" s="241">
        <f>-HLOOKUP(D208,K$119:O$129,ROWS(K$119:O$129),FALSE)</f>
        <v>16</v>
      </c>
      <c r="F208" s="242"/>
      <c r="H208" s="594" t="s">
        <v>266</v>
      </c>
      <c r="I208" s="243"/>
      <c r="J208" s="243"/>
      <c r="K208" s="272">
        <f>IF(K$197=$D208,$E208/$F$200/2,MIN($E208/$F$200,$E208-SUM($J208:J208)))</f>
        <v>0.26666666666666666</v>
      </c>
      <c r="L208" s="272">
        <f>IF(L$197=$D208,$E208/$F$200/2,MIN($E208/$F$200,$E208-SUM($J208:K208)))</f>
        <v>0.53333333333333333</v>
      </c>
      <c r="M208" s="272">
        <f>IF(M$197=$D208,$E208/$F$200/2,MIN($E208/$F$200,$E208-SUM($J208:L208)))</f>
        <v>0.53333333333333333</v>
      </c>
      <c r="N208" s="272">
        <f>IF(N$197=$D208,$E208/$F$200/2,MIN($E208/$F$200,$E208-SUM($J208:M208)))</f>
        <v>0.53333333333333333</v>
      </c>
      <c r="O208" s="272">
        <f>IF(O$197=$D208,$E208/$F$200/2,MIN($E208/$F$200,$E208-SUM($J208:N208)))</f>
        <v>0.53333333333333333</v>
      </c>
    </row>
    <row r="209" spans="1:17">
      <c r="D209" s="223">
        <f>D208+1</f>
        <v>2024</v>
      </c>
      <c r="E209" s="244">
        <f>-_xlfn.XLOOKUP(D209,K119:O119,K129:O129,,0)</f>
        <v>17</v>
      </c>
      <c r="F209" s="242"/>
      <c r="H209" s="243">
        <f>ROWS(E208:E212)</f>
        <v>5</v>
      </c>
      <c r="I209" s="243"/>
      <c r="J209" s="243"/>
      <c r="K209" s="273"/>
      <c r="L209" s="272">
        <f>IF(L$197=$D209,$E209/$F$200/2,MIN($E209/$F$200,$E209-SUM($J209:K209)))</f>
        <v>0.28333333333333333</v>
      </c>
      <c r="M209" s="272">
        <f>IF(M$197=$D209,$E209/$F$200/2,MIN($E209/$F$200,$E209-SUM($J209:L209)))</f>
        <v>0.56666666666666665</v>
      </c>
      <c r="N209" s="272">
        <f>IF(N$197=$D209,$E209/$F$200/2,MIN($E209/$F$200,$E209-SUM($J209:M209)))</f>
        <v>0.56666666666666665</v>
      </c>
      <c r="O209" s="272">
        <f>IF(O$197=$D209,$E209/$F$200/2,MIN($E209/$F$200,$E209-SUM($J209:N209)))</f>
        <v>0.56666666666666665</v>
      </c>
    </row>
    <row r="210" spans="1:17">
      <c r="D210" s="223">
        <f>D209+1</f>
        <v>2025</v>
      </c>
      <c r="E210" s="244">
        <f>-SUMIF(K$119:O$119,D210,K$129:O$129)</f>
        <v>17.3</v>
      </c>
      <c r="F210" s="242"/>
      <c r="H210" s="101"/>
      <c r="I210" s="101"/>
      <c r="J210" s="101"/>
      <c r="K210" s="273"/>
      <c r="L210" s="273"/>
      <c r="M210" s="272">
        <f>IF(M$197=$D210,$E210/$F$200/2,MIN($E210/$F$200,$E210-SUM($J210:L210)))</f>
        <v>0.28833333333333333</v>
      </c>
      <c r="N210" s="272">
        <f>IF(N$197=$D210,$E210/$F$200/2,MIN($E210/$F$200,$E210-SUM($J210:M210)))</f>
        <v>0.57666666666666666</v>
      </c>
      <c r="O210" s="272">
        <f>IF(O$197=$D210,$E210/$F$200/2,MIN($E210/$F$200,$E210-SUM($J210:N210)))</f>
        <v>0.57666666666666666</v>
      </c>
    </row>
    <row r="211" spans="1:17">
      <c r="D211" s="223">
        <f>D210+1</f>
        <v>2026</v>
      </c>
      <c r="E211" s="244">
        <f t="shared" ref="E211:E212" si="103">-SUMIF(K$119:O$119,D211,K$129:O$129)</f>
        <v>17.5</v>
      </c>
      <c r="F211" s="242"/>
      <c r="H211" s="101"/>
      <c r="I211" s="101"/>
      <c r="J211" s="101"/>
      <c r="K211" s="130"/>
      <c r="L211" s="273"/>
      <c r="M211" s="273"/>
      <c r="N211" s="272">
        <f>IF(N$197=$D211,$E211/$F$200/2,MIN($E211/$F$200,$E211-SUM($J211:M211)))</f>
        <v>0.29166666666666669</v>
      </c>
      <c r="O211" s="272">
        <f>IF(O$197=$D211,$E211/$F$200/2,MIN($E211/$F$200,$E211-SUM($J211:N211)))</f>
        <v>0.58333333333333337</v>
      </c>
    </row>
    <row r="212" spans="1:17">
      <c r="D212" s="223">
        <f>D211+1</f>
        <v>2027</v>
      </c>
      <c r="E212" s="245">
        <f t="shared" si="103"/>
        <v>18</v>
      </c>
      <c r="F212" s="242"/>
      <c r="H212" s="101"/>
      <c r="I212" s="101"/>
      <c r="J212" s="101"/>
      <c r="K212" s="130"/>
      <c r="L212" s="130"/>
      <c r="M212" s="273"/>
      <c r="N212" s="273"/>
      <c r="O212" s="272">
        <f>IF(O$197=$D212,$E212/$F$200/2,MIN($E212/$F$200,$E212-SUM($J212:N212)))</f>
        <v>0.3</v>
      </c>
    </row>
    <row r="214" spans="1:17">
      <c r="D214" s="224" t="s">
        <v>166</v>
      </c>
      <c r="F214" s="603" t="s">
        <v>274</v>
      </c>
      <c r="H214" s="246"/>
      <c r="I214" s="246"/>
      <c r="J214" s="246"/>
      <c r="K214" s="274">
        <f>SUM(K205,K208:K213)</f>
        <v>16.174666666666667</v>
      </c>
      <c r="L214" s="274">
        <f t="shared" ref="L214:O214" si="104">SUM(L205,L208:L213)</f>
        <v>16.724666666666668</v>
      </c>
      <c r="M214" s="274">
        <f t="shared" si="104"/>
        <v>17.296333333333333</v>
      </c>
      <c r="N214" s="274">
        <f t="shared" si="104"/>
        <v>17.876333333333335</v>
      </c>
      <c r="O214" s="274">
        <f t="shared" si="104"/>
        <v>18.468</v>
      </c>
    </row>
    <row r="215" spans="1:17">
      <c r="D215" s="224"/>
      <c r="F215" s="603"/>
      <c r="H215" s="598"/>
      <c r="I215" s="598"/>
      <c r="J215" s="598"/>
      <c r="K215" s="599"/>
      <c r="L215" s="599"/>
      <c r="M215" s="599"/>
      <c r="N215" s="599"/>
      <c r="O215" s="599"/>
    </row>
    <row r="216" spans="1:17">
      <c r="D216" s="224" t="s">
        <v>270</v>
      </c>
      <c r="F216" s="603" t="s">
        <v>275</v>
      </c>
      <c r="H216" s="598"/>
      <c r="I216" s="598"/>
      <c r="J216" s="598">
        <f>J163</f>
        <v>397.7</v>
      </c>
      <c r="K216" s="599">
        <f>K202+K203-K214</f>
        <v>397.52533333333332</v>
      </c>
      <c r="L216" s="599">
        <f t="shared" ref="L216:O216" si="105">L202+L203-L214</f>
        <v>397.80066666666664</v>
      </c>
      <c r="M216" s="599">
        <f t="shared" si="105"/>
        <v>397.80433333333332</v>
      </c>
      <c r="N216" s="599">
        <f t="shared" si="105"/>
        <v>397.428</v>
      </c>
      <c r="O216" s="599">
        <f t="shared" si="105"/>
        <v>396.96</v>
      </c>
      <c r="Q216" s="600" t="s">
        <v>273</v>
      </c>
    </row>
    <row r="217" spans="1:17">
      <c r="D217" s="224"/>
      <c r="F217" s="602"/>
      <c r="H217" s="598"/>
      <c r="I217" s="598"/>
      <c r="J217" s="598"/>
      <c r="K217" s="599"/>
      <c r="L217" s="599"/>
      <c r="M217" s="599"/>
      <c r="N217" s="599"/>
      <c r="O217" s="599"/>
    </row>
    <row r="218" spans="1:17">
      <c r="B218" s="23"/>
      <c r="C218" s="23"/>
      <c r="D218" s="23"/>
      <c r="E218" s="23"/>
      <c r="F218" s="53"/>
      <c r="G218" s="23"/>
      <c r="H218" s="247"/>
      <c r="I218" s="247"/>
      <c r="J218" s="247"/>
      <c r="K218" s="247"/>
      <c r="L218" s="247"/>
      <c r="M218" s="247"/>
      <c r="N218" s="247"/>
      <c r="O218" s="23"/>
    </row>
    <row r="219" spans="1:17">
      <c r="F219"/>
    </row>
    <row r="220" spans="1:17" ht="12.75" customHeight="1">
      <c r="A220" s="10"/>
      <c r="B220" s="11"/>
      <c r="C220" s="9"/>
      <c r="D220" s="9"/>
      <c r="E220" s="9"/>
      <c r="F220" s="31"/>
      <c r="G220" s="9"/>
      <c r="H220" s="9"/>
      <c r="I220" s="9"/>
      <c r="J220" s="9"/>
      <c r="K220" s="9"/>
      <c r="L220" s="9"/>
      <c r="M220" s="9"/>
      <c r="N220" s="9"/>
      <c r="O220" s="98" t="str">
        <f>$O$1</f>
        <v>Currently Running : Base Case Scenario</v>
      </c>
    </row>
    <row r="221" spans="1:17" ht="22.8">
      <c r="B221" s="11" t="str">
        <f>B$2</f>
        <v>Blu Containers Company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spans="1:17" ht="17.399999999999999">
      <c r="B222" s="13" t="s">
        <v>167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7" ht="3" customHeight="1">
      <c r="A223" s="12"/>
      <c r="B223" s="15"/>
      <c r="C223" s="16"/>
      <c r="D223" s="16"/>
      <c r="E223" s="16"/>
      <c r="F223" s="33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7">
      <c r="B224" s="555" t="s">
        <v>8</v>
      </c>
      <c r="F224"/>
    </row>
    <row r="225" spans="2:16">
      <c r="F225"/>
      <c r="H225" s="186"/>
      <c r="I225" s="186"/>
      <c r="J225" s="186"/>
      <c r="K225" s="69" t="s">
        <v>7</v>
      </c>
      <c r="L225" s="70"/>
      <c r="M225" s="70"/>
      <c r="N225" s="70"/>
      <c r="O225" s="70"/>
    </row>
    <row r="226" spans="2:16">
      <c r="B226" s="225"/>
      <c r="C226" s="226" t="s">
        <v>168</v>
      </c>
      <c r="D226" s="227"/>
      <c r="E226" s="248">
        <f>Assumptions!N39</f>
        <v>0.35</v>
      </c>
      <c r="F226"/>
      <c r="H226" s="187"/>
      <c r="I226" s="187"/>
      <c r="J226" s="187"/>
      <c r="K226" s="88">
        <f>K$7</f>
        <v>2023</v>
      </c>
      <c r="L226" s="88">
        <f>L$7</f>
        <v>2024</v>
      </c>
      <c r="M226" s="88">
        <f>M$7</f>
        <v>2025</v>
      </c>
      <c r="N226" s="88">
        <f>N$7</f>
        <v>2026</v>
      </c>
      <c r="O226" s="88">
        <f>O$7</f>
        <v>2027</v>
      </c>
    </row>
    <row r="227" spans="2:16">
      <c r="B227" s="225"/>
      <c r="C227" s="21"/>
      <c r="E227" s="249"/>
      <c r="F227"/>
      <c r="H227" s="187"/>
      <c r="I227" s="187"/>
      <c r="J227" s="187"/>
      <c r="K227" s="88"/>
      <c r="L227" s="88"/>
      <c r="M227" s="88"/>
      <c r="N227" s="88"/>
      <c r="O227" s="88"/>
    </row>
    <row r="228" spans="2:16">
      <c r="F228"/>
    </row>
    <row r="229" spans="2:16">
      <c r="D229" s="554" t="s">
        <v>169</v>
      </c>
      <c r="F229"/>
      <c r="H229" s="250" t="s">
        <v>170</v>
      </c>
      <c r="I229" s="243"/>
      <c r="J229" s="243"/>
      <c r="K229" s="275">
        <f>K98</f>
        <v>45.700575268817175</v>
      </c>
      <c r="L229" s="275">
        <f t="shared" ref="L229:O229" si="106">L98</f>
        <v>19.821211501782294</v>
      </c>
      <c r="M229" s="275">
        <f t="shared" si="106"/>
        <v>59.695937475288986</v>
      </c>
      <c r="N229" s="275">
        <f t="shared" si="106"/>
        <v>51.259813978468209</v>
      </c>
      <c r="O229" s="275">
        <f t="shared" si="106"/>
        <v>29.874095904000072</v>
      </c>
    </row>
    <row r="230" spans="2:16" ht="6" customHeight="1">
      <c r="E230" s="251"/>
      <c r="F230" s="251"/>
      <c r="H230" s="154"/>
      <c r="I230" s="154"/>
      <c r="J230" s="154"/>
      <c r="K230" s="154"/>
      <c r="L230" s="154"/>
      <c r="M230" s="154"/>
      <c r="N230" s="154"/>
      <c r="O230" s="154"/>
    </row>
    <row r="231" spans="2:16" ht="15.6">
      <c r="D231" t="s">
        <v>171</v>
      </c>
      <c r="F231"/>
      <c r="K231" s="276">
        <f>Assumptions!J61</f>
        <v>5</v>
      </c>
      <c r="L231" s="276">
        <f>Assumptions!K61</f>
        <v>5</v>
      </c>
      <c r="M231" s="276">
        <f>Assumptions!L61</f>
        <v>5</v>
      </c>
      <c r="N231" s="276">
        <f>Assumptions!M61</f>
        <v>5</v>
      </c>
      <c r="O231" s="276">
        <f>Assumptions!N61</f>
        <v>5</v>
      </c>
    </row>
    <row r="232" spans="2:16">
      <c r="D232" s="613" t="s">
        <v>293</v>
      </c>
      <c r="F232" s="251"/>
      <c r="H232" s="250" t="s">
        <v>173</v>
      </c>
      <c r="I232" s="277"/>
      <c r="J232" s="277"/>
      <c r="K232" s="275">
        <f>K229-K231</f>
        <v>40.700575268817175</v>
      </c>
      <c r="L232" s="275">
        <f>L229-L231</f>
        <v>14.821211501782294</v>
      </c>
      <c r="M232" s="275">
        <f>M229-M231</f>
        <v>54.695937475288986</v>
      </c>
      <c r="N232" s="275">
        <f>N229-N231</f>
        <v>46.259813978468209</v>
      </c>
      <c r="O232" s="275">
        <f>O229-O231</f>
        <v>24.874095904000072</v>
      </c>
    </row>
    <row r="233" spans="2:16">
      <c r="E233" s="21"/>
      <c r="F233"/>
      <c r="H233" s="243"/>
      <c r="I233" s="243"/>
      <c r="J233" s="243"/>
      <c r="K233" s="273"/>
      <c r="L233" s="273"/>
      <c r="M233" s="273"/>
      <c r="N233" s="273"/>
      <c r="O233" s="273"/>
      <c r="P233" s="130"/>
    </row>
    <row r="234" spans="2:16">
      <c r="D234" s="18" t="str">
        <f>CONCATENATE("Accounting Taxes (",$E$226*100,"% of A)")</f>
        <v>Accounting Taxes (35% of A)</v>
      </c>
      <c r="E234" s="251"/>
      <c r="F234" s="154"/>
      <c r="G234" s="154"/>
      <c r="H234" s="243"/>
      <c r="I234" s="243"/>
      <c r="J234" s="243"/>
      <c r="K234" s="272">
        <f>K229*$E$226</f>
        <v>15.995201344086011</v>
      </c>
      <c r="L234" s="272">
        <f>L229*$E$226</f>
        <v>6.9374240256238027</v>
      </c>
      <c r="M234" s="272">
        <f>M229*$E$226</f>
        <v>20.893578116351144</v>
      </c>
      <c r="N234" s="272">
        <f>N229*$E$226</f>
        <v>17.940934892463872</v>
      </c>
      <c r="O234" s="272">
        <f>O229*$E$226</f>
        <v>10.455933566400024</v>
      </c>
    </row>
    <row r="235" spans="2:16">
      <c r="F235" s="252"/>
      <c r="H235" s="243"/>
      <c r="I235" s="243"/>
      <c r="J235" s="243"/>
      <c r="K235" s="243"/>
      <c r="L235" s="243"/>
      <c r="M235" s="243"/>
      <c r="N235" s="243"/>
      <c r="O235" s="243"/>
    </row>
    <row r="236" spans="2:16">
      <c r="D236" s="108" t="s">
        <v>174</v>
      </c>
      <c r="E236" s="253"/>
      <c r="F236" s="254"/>
      <c r="G236" s="254"/>
      <c r="H236" s="254"/>
      <c r="I236" s="254"/>
      <c r="J236" s="254"/>
      <c r="K236" s="254"/>
      <c r="L236" s="254"/>
      <c r="M236" s="254"/>
      <c r="N236" s="254"/>
      <c r="O236" s="283"/>
    </row>
    <row r="237" spans="2:16">
      <c r="D237" s="228" t="str">
        <f>CONCATENATE("Current Tax (",$E$226*100,"% of B)")</f>
        <v>Current Tax (35% of B)</v>
      </c>
      <c r="E237" s="251"/>
      <c r="F237" s="154"/>
      <c r="G237" s="255"/>
      <c r="H237" s="243"/>
      <c r="I237" s="243"/>
      <c r="J237" s="243"/>
      <c r="K237" s="272">
        <f>K232*$E$226</f>
        <v>14.245201344086011</v>
      </c>
      <c r="L237" s="272">
        <f t="shared" ref="L237:O237" si="107">L232*$E$226</f>
        <v>5.1874240256238027</v>
      </c>
      <c r="M237" s="272">
        <f t="shared" si="107"/>
        <v>19.143578116351144</v>
      </c>
      <c r="N237" s="272">
        <f t="shared" si="107"/>
        <v>16.190934892463872</v>
      </c>
      <c r="O237" s="272">
        <f t="shared" si="107"/>
        <v>8.7059335664000237</v>
      </c>
    </row>
    <row r="238" spans="2:16">
      <c r="D238" s="110" t="s">
        <v>175</v>
      </c>
      <c r="E238" s="251"/>
      <c r="F238" s="154"/>
      <c r="G238" s="154"/>
      <c r="H238" s="243"/>
      <c r="I238" s="243"/>
      <c r="J238" s="243"/>
      <c r="K238" s="278">
        <f>K239-K237</f>
        <v>1.75</v>
      </c>
      <c r="L238" s="278">
        <f t="shared" ref="L238:O238" si="108">L239-L237</f>
        <v>1.75</v>
      </c>
      <c r="M238" s="278">
        <f t="shared" si="108"/>
        <v>1.75</v>
      </c>
      <c r="N238" s="278">
        <f t="shared" si="108"/>
        <v>1.75</v>
      </c>
      <c r="O238" s="278">
        <f t="shared" si="108"/>
        <v>1.75</v>
      </c>
    </row>
    <row r="239" spans="2:16">
      <c r="D239" s="229" t="s">
        <v>176</v>
      </c>
      <c r="E239" s="256"/>
      <c r="F239" s="257"/>
      <c r="G239" s="257"/>
      <c r="H239" s="258"/>
      <c r="I239" s="258"/>
      <c r="J239" s="258"/>
      <c r="K239" s="279">
        <f>K234</f>
        <v>15.995201344086011</v>
      </c>
      <c r="L239" s="279">
        <f t="shared" ref="L239:O239" si="109">L234</f>
        <v>6.9374240256238027</v>
      </c>
      <c r="M239" s="279">
        <f t="shared" si="109"/>
        <v>20.893578116351144</v>
      </c>
      <c r="N239" s="279">
        <f t="shared" si="109"/>
        <v>17.940934892463872</v>
      </c>
      <c r="O239" s="279">
        <f t="shared" si="109"/>
        <v>10.455933566400024</v>
      </c>
    </row>
    <row r="240" spans="2:16">
      <c r="E240" s="251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</row>
    <row r="241" spans="1:15">
      <c r="C241" s="230" t="s">
        <v>177</v>
      </c>
      <c r="E241" s="251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</row>
    <row r="242" spans="1:15" ht="6" customHeight="1">
      <c r="B242" s="23"/>
      <c r="C242" s="23"/>
      <c r="D242" s="23"/>
      <c r="E242" s="259"/>
      <c r="F242" s="259"/>
      <c r="G242" s="260"/>
      <c r="H242" s="260"/>
      <c r="I242" s="260"/>
      <c r="J242" s="260"/>
      <c r="K242" s="260"/>
      <c r="L242" s="260"/>
      <c r="M242" s="260"/>
      <c r="N242" s="260"/>
      <c r="O242" s="23"/>
    </row>
    <row r="244" spans="1:15" ht="12.75" customHeight="1">
      <c r="A244" s="10"/>
      <c r="B244" s="11"/>
      <c r="C244" s="9"/>
      <c r="D244" s="9"/>
      <c r="E244" s="9"/>
      <c r="F244" s="31"/>
      <c r="G244" s="9"/>
      <c r="H244" s="9"/>
      <c r="I244" s="9"/>
      <c r="J244" s="9"/>
      <c r="K244" s="9"/>
      <c r="L244" s="9"/>
      <c r="M244" s="9"/>
      <c r="N244" s="9"/>
      <c r="O244" s="98" t="str">
        <f>$O$1</f>
        <v>Currently Running : Base Case Scenario</v>
      </c>
    </row>
    <row r="245" spans="1:15" ht="22.8">
      <c r="B245" s="11" t="str">
        <f>B$2</f>
        <v>Blu Containers Company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spans="1:15" ht="17.399999999999999">
      <c r="B246" s="13" t="s">
        <v>178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ht="3" customHeight="1">
      <c r="A247" s="12"/>
      <c r="B247" s="15"/>
      <c r="C247" s="16"/>
      <c r="D247" s="16"/>
      <c r="E247" s="16"/>
      <c r="F247" s="33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>
      <c r="B248" s="555" t="s">
        <v>8</v>
      </c>
      <c r="F248"/>
      <c r="O248" s="18"/>
    </row>
    <row r="249" spans="1:15">
      <c r="F249"/>
      <c r="H249" s="9"/>
      <c r="I249" s="9"/>
      <c r="J249" s="9"/>
      <c r="K249" s="69" t="s">
        <v>7</v>
      </c>
      <c r="L249" s="70"/>
      <c r="M249" s="70"/>
      <c r="N249" s="70"/>
      <c r="O249" s="70"/>
    </row>
    <row r="250" spans="1:15" ht="12" customHeight="1">
      <c r="F250"/>
      <c r="G250" s="139"/>
      <c r="H250" s="36">
        <f t="shared" ref="H250:O250" si="110">H$7</f>
        <v>2020</v>
      </c>
      <c r="I250" s="36">
        <f t="shared" si="110"/>
        <v>2021</v>
      </c>
      <c r="J250" s="36">
        <f t="shared" si="110"/>
        <v>2022</v>
      </c>
      <c r="K250" s="88">
        <f t="shared" si="110"/>
        <v>2023</v>
      </c>
      <c r="L250" s="88">
        <f t="shared" si="110"/>
        <v>2024</v>
      </c>
      <c r="M250" s="88">
        <f t="shared" si="110"/>
        <v>2025</v>
      </c>
      <c r="N250" s="88">
        <f t="shared" si="110"/>
        <v>2026</v>
      </c>
      <c r="O250" s="88">
        <f t="shared" si="110"/>
        <v>2027</v>
      </c>
    </row>
    <row r="251" spans="1:15" ht="12" customHeight="1">
      <c r="F251"/>
    </row>
    <row r="252" spans="1:15">
      <c r="B252" s="105" t="s">
        <v>179</v>
      </c>
      <c r="C252" s="106"/>
      <c r="D252" s="106"/>
      <c r="E252" s="106"/>
      <c r="F252" s="261" t="s">
        <v>180</v>
      </c>
      <c r="G252" s="106"/>
      <c r="H252" s="106"/>
      <c r="I252" s="280">
        <f t="shared" ref="I252:J252" si="111">DATE(I250,12,31)-DATE(H250,12,31)</f>
        <v>365</v>
      </c>
      <c r="J252" s="280">
        <f t="shared" si="111"/>
        <v>365</v>
      </c>
      <c r="K252" s="280">
        <f>DATE(K250,12,31)-DATE(J250,12,31)</f>
        <v>365</v>
      </c>
      <c r="L252" s="280">
        <f t="shared" ref="L252:O252" si="112">DATE(L250,12,31)-DATE(K250,12,31)</f>
        <v>366</v>
      </c>
      <c r="M252" s="280">
        <f t="shared" si="112"/>
        <v>365</v>
      </c>
      <c r="N252" s="280">
        <f t="shared" si="112"/>
        <v>365</v>
      </c>
      <c r="O252" s="280">
        <f t="shared" si="112"/>
        <v>365</v>
      </c>
    </row>
    <row r="253" spans="1:15">
      <c r="F253" s="38"/>
    </row>
    <row r="254" spans="1:15">
      <c r="A254" s="614">
        <v>1</v>
      </c>
      <c r="B254" s="21" t="s">
        <v>10</v>
      </c>
      <c r="F254" s="38"/>
    </row>
    <row r="255" spans="1:15">
      <c r="C255" t="s">
        <v>11</v>
      </c>
      <c r="F255" s="38" t="s">
        <v>105</v>
      </c>
      <c r="I255" s="85">
        <f>I85</f>
        <v>236.60000000000002</v>
      </c>
      <c r="J255" s="85">
        <f t="shared" ref="J255:O255" si="113">J85</f>
        <v>204.79999999999998</v>
      </c>
      <c r="K255" s="85">
        <f t="shared" si="113"/>
        <v>252.46209677419353</v>
      </c>
      <c r="L255" s="85">
        <f t="shared" si="113"/>
        <v>233.58111483870971</v>
      </c>
      <c r="M255" s="85">
        <f t="shared" si="113"/>
        <v>281.23110855638714</v>
      </c>
      <c r="N255" s="85">
        <f t="shared" si="113"/>
        <v>281.22955436627001</v>
      </c>
      <c r="O255" s="85">
        <f t="shared" si="113"/>
        <v>268.17287049000004</v>
      </c>
    </row>
    <row r="256" spans="1:15">
      <c r="C256" t="s">
        <v>114</v>
      </c>
      <c r="F256" s="38" t="s">
        <v>105</v>
      </c>
      <c r="I256" s="85">
        <f>I87</f>
        <v>164.6</v>
      </c>
      <c r="J256" s="85">
        <f t="shared" ref="J256:O256" si="114">J87</f>
        <v>167.9</v>
      </c>
      <c r="K256" s="85">
        <f t="shared" si="114"/>
        <v>174.68685483870968</v>
      </c>
      <c r="L256" s="85">
        <f t="shared" si="114"/>
        <v>182.49261561290325</v>
      </c>
      <c r="M256" s="85">
        <f t="shared" si="114"/>
        <v>190.71666264216776</v>
      </c>
      <c r="N256" s="85">
        <f t="shared" si="114"/>
        <v>200.36067077655082</v>
      </c>
      <c r="O256" s="85">
        <f t="shared" si="114"/>
        <v>209.56780061099997</v>
      </c>
    </row>
    <row r="257" spans="1:15">
      <c r="F257" s="38"/>
    </row>
    <row r="258" spans="1:15">
      <c r="A258" s="614">
        <v>2</v>
      </c>
      <c r="B258" s="231" t="s">
        <v>181</v>
      </c>
      <c r="C258" s="232"/>
      <c r="E258" s="615" t="s">
        <v>294</v>
      </c>
      <c r="F258" s="38"/>
      <c r="I258" s="601" t="s">
        <v>296</v>
      </c>
      <c r="K258" s="601" t="s">
        <v>297</v>
      </c>
    </row>
    <row r="259" spans="1:15">
      <c r="B259" s="233"/>
      <c r="C259" s="232" t="s">
        <v>71</v>
      </c>
      <c r="F259" s="38" t="s">
        <v>180</v>
      </c>
      <c r="G259" s="262"/>
      <c r="H259" s="263"/>
      <c r="I259" s="85">
        <f>I267/I255*I252</f>
        <v>42.886728655959423</v>
      </c>
      <c r="J259" s="85">
        <f>J267/J255*J252</f>
        <v>50.437011718750007</v>
      </c>
      <c r="K259" s="617">
        <f>Assumptions!J64</f>
        <v>48</v>
      </c>
      <c r="L259" s="617">
        <f>Assumptions!K64</f>
        <v>44</v>
      </c>
      <c r="M259" s="617">
        <f>Assumptions!L64</f>
        <v>40</v>
      </c>
      <c r="N259" s="617">
        <f>Assumptions!M64</f>
        <v>40</v>
      </c>
      <c r="O259" s="617">
        <f>Assumptions!N64</f>
        <v>40</v>
      </c>
    </row>
    <row r="260" spans="1:15">
      <c r="B260" s="233"/>
      <c r="C260" s="234" t="s">
        <v>73</v>
      </c>
      <c r="F260" s="38" t="s">
        <v>180</v>
      </c>
      <c r="G260" s="262"/>
      <c r="H260" s="263"/>
      <c r="I260" s="85">
        <f>I268/I256*I252</f>
        <v>80.051640340218725</v>
      </c>
      <c r="J260" s="85">
        <f>J268/J256*J252</f>
        <v>76.304347826086953</v>
      </c>
      <c r="K260" s="617">
        <f>Assumptions!J65</f>
        <v>70</v>
      </c>
      <c r="L260" s="617">
        <f>Assumptions!K65</f>
        <v>65</v>
      </c>
      <c r="M260" s="617">
        <f>Assumptions!L65</f>
        <v>60</v>
      </c>
      <c r="N260" s="617">
        <f>Assumptions!M65</f>
        <v>60</v>
      </c>
      <c r="O260" s="617">
        <f>Assumptions!N65</f>
        <v>55</v>
      </c>
    </row>
    <row r="261" spans="1:15">
      <c r="B261" s="233"/>
      <c r="C261" s="234" t="s">
        <v>74</v>
      </c>
      <c r="F261" s="38" t="s">
        <v>180</v>
      </c>
      <c r="G261" s="264"/>
      <c r="H261" s="265"/>
      <c r="I261" s="85">
        <f>I269/I256*I252</f>
        <v>31.93195625759417</v>
      </c>
      <c r="J261" s="85">
        <f>J269/J256*J252</f>
        <v>32.391304347826086</v>
      </c>
      <c r="K261" s="617">
        <f>Assumptions!J66</f>
        <v>30</v>
      </c>
      <c r="L261" s="617">
        <f>Assumptions!K66</f>
        <v>30</v>
      </c>
      <c r="M261" s="617">
        <f>Assumptions!L66</f>
        <v>30</v>
      </c>
      <c r="N261" s="617">
        <f>Assumptions!M66</f>
        <v>30</v>
      </c>
      <c r="O261" s="617">
        <f>Assumptions!N66</f>
        <v>30</v>
      </c>
    </row>
    <row r="262" spans="1:15">
      <c r="B262" s="233"/>
      <c r="C262" s="234" t="s">
        <v>75</v>
      </c>
      <c r="F262" s="38" t="s">
        <v>180</v>
      </c>
      <c r="G262" s="264"/>
      <c r="H262" s="265"/>
      <c r="I262" s="85">
        <f>I270/I256*I252</f>
        <v>3.9914945321992712</v>
      </c>
      <c r="J262" s="85">
        <f>J270/J256*J252</f>
        <v>2.6086956521739131</v>
      </c>
      <c r="K262" s="617">
        <f>Assumptions!J67</f>
        <v>3</v>
      </c>
      <c r="L262" s="617">
        <f>Assumptions!K67</f>
        <v>3</v>
      </c>
      <c r="M262" s="617">
        <f>Assumptions!L67</f>
        <v>3</v>
      </c>
      <c r="N262" s="617">
        <f>Assumptions!M67</f>
        <v>3</v>
      </c>
      <c r="O262" s="617">
        <f>Assumptions!N67</f>
        <v>3</v>
      </c>
    </row>
    <row r="263" spans="1:15">
      <c r="B263" s="233"/>
      <c r="C263" s="232" t="s">
        <v>76</v>
      </c>
      <c r="F263" s="38" t="s">
        <v>180</v>
      </c>
      <c r="G263" s="264"/>
      <c r="H263" s="265"/>
      <c r="I263" s="85">
        <f>I271/I256*I252</f>
        <v>41.467193195625761</v>
      </c>
      <c r="J263" s="85">
        <f>J271/J256*J252</f>
        <v>39.565217391304344</v>
      </c>
      <c r="K263" s="617">
        <f>Assumptions!J68</f>
        <v>40</v>
      </c>
      <c r="L263" s="617">
        <f>Assumptions!K68</f>
        <v>40</v>
      </c>
      <c r="M263" s="617">
        <f>Assumptions!L68</f>
        <v>40</v>
      </c>
      <c r="N263" s="617">
        <f>Assumptions!M68</f>
        <v>40</v>
      </c>
      <c r="O263" s="617">
        <f>Assumptions!N68</f>
        <v>40</v>
      </c>
    </row>
    <row r="264" spans="1:15">
      <c r="B264" s="233"/>
      <c r="C264" s="232" t="s">
        <v>77</v>
      </c>
      <c r="F264" s="38" t="s">
        <v>180</v>
      </c>
      <c r="G264" s="264"/>
      <c r="H264" s="265"/>
      <c r="I264" s="85">
        <f>I272/I256*I252</f>
        <v>10.865735115431351</v>
      </c>
      <c r="J264" s="85">
        <f>J272/J256*J252</f>
        <v>10.434782608695652</v>
      </c>
      <c r="K264" s="617">
        <f>Assumptions!J69</f>
        <v>10</v>
      </c>
      <c r="L264" s="617">
        <f>Assumptions!K69</f>
        <v>10</v>
      </c>
      <c r="M264" s="617">
        <f>Assumptions!L69</f>
        <v>10</v>
      </c>
      <c r="N264" s="617">
        <f>Assumptions!M69</f>
        <v>10</v>
      </c>
      <c r="O264" s="617">
        <f>Assumptions!N69</f>
        <v>10</v>
      </c>
    </row>
    <row r="265" spans="1:15">
      <c r="B265" s="233"/>
      <c r="C265" s="232"/>
      <c r="F265" s="38"/>
      <c r="H265" s="223"/>
      <c r="I265" s="223"/>
      <c r="J265" s="223"/>
      <c r="K265" s="223"/>
      <c r="L265" s="223"/>
      <c r="M265" s="223"/>
      <c r="N265" s="223"/>
      <c r="O265" s="223"/>
    </row>
    <row r="266" spans="1:15">
      <c r="A266" s="614">
        <v>3</v>
      </c>
      <c r="B266" s="231" t="s">
        <v>182</v>
      </c>
      <c r="C266" s="232"/>
      <c r="F266" s="38"/>
      <c r="H266" s="223"/>
      <c r="I266" s="616" t="s">
        <v>295</v>
      </c>
      <c r="J266" s="223"/>
      <c r="K266" s="601" t="s">
        <v>298</v>
      </c>
      <c r="L266" s="223"/>
      <c r="M266" s="223"/>
      <c r="N266" s="223"/>
      <c r="O266" s="223"/>
    </row>
    <row r="267" spans="1:15">
      <c r="B267" s="233"/>
      <c r="C267" s="232" t="s">
        <v>71</v>
      </c>
      <c r="F267" s="38" t="s">
        <v>105</v>
      </c>
      <c r="I267" s="85">
        <f>I157</f>
        <v>27.8</v>
      </c>
      <c r="J267" s="85">
        <f>J157</f>
        <v>28.3</v>
      </c>
      <c r="K267" s="618">
        <f>K255/K252*K259</f>
        <v>33.200494918250108</v>
      </c>
      <c r="L267" s="618">
        <f t="shared" ref="L267:O267" si="115">L255/L252*L259</f>
        <v>28.080789762030673</v>
      </c>
      <c r="M267" s="618">
        <f t="shared" si="115"/>
        <v>30.819847513028726</v>
      </c>
      <c r="N267" s="618">
        <f t="shared" si="115"/>
        <v>30.819677190824109</v>
      </c>
      <c r="O267" s="618">
        <f t="shared" si="115"/>
        <v>29.38880772493151</v>
      </c>
    </row>
    <row r="268" spans="1:15">
      <c r="B268" s="233"/>
      <c r="C268" s="234" t="s">
        <v>73</v>
      </c>
      <c r="F268" s="38" t="s">
        <v>105</v>
      </c>
      <c r="I268" s="85">
        <f t="shared" ref="I268:J268" si="116">I158</f>
        <v>36.1</v>
      </c>
      <c r="J268" s="85">
        <f t="shared" si="116"/>
        <v>35.1</v>
      </c>
      <c r="K268" s="618">
        <f>K$256/K$252*K260</f>
        <v>33.501588599204595</v>
      </c>
      <c r="L268" s="618">
        <f t="shared" ref="L268:N268" si="117">L$256/L$252*L260</f>
        <v>32.409890750925442</v>
      </c>
      <c r="M268" s="618">
        <f t="shared" si="117"/>
        <v>31.350684269945383</v>
      </c>
      <c r="N268" s="618">
        <f t="shared" si="117"/>
        <v>32.936000675597391</v>
      </c>
      <c r="O268" s="618">
        <f>O$256/O$252*O260</f>
        <v>31.578709681109586</v>
      </c>
    </row>
    <row r="269" spans="1:15">
      <c r="B269" s="233"/>
      <c r="C269" s="234" t="s">
        <v>74</v>
      </c>
      <c r="F269" s="38" t="s">
        <v>105</v>
      </c>
      <c r="I269" s="85">
        <f t="shared" ref="I269:J270" si="118">I159</f>
        <v>14.4</v>
      </c>
      <c r="J269" s="85">
        <f t="shared" si="118"/>
        <v>14.9</v>
      </c>
      <c r="K269" s="618">
        <f t="shared" ref="K269:O269" si="119">K$256/K$252*K261</f>
        <v>14.357823685373399</v>
      </c>
      <c r="L269" s="618">
        <f t="shared" si="119"/>
        <v>14.958411115811742</v>
      </c>
      <c r="M269" s="618">
        <f t="shared" si="119"/>
        <v>15.675342134972691</v>
      </c>
      <c r="N269" s="618">
        <f t="shared" si="119"/>
        <v>16.468000337798696</v>
      </c>
      <c r="O269" s="618">
        <f t="shared" si="119"/>
        <v>17.224750735150682</v>
      </c>
    </row>
    <row r="270" spans="1:15">
      <c r="B270" s="233"/>
      <c r="C270" s="234" t="s">
        <v>75</v>
      </c>
      <c r="F270" s="38" t="s">
        <v>105</v>
      </c>
      <c r="I270" s="85">
        <f t="shared" si="118"/>
        <v>1.8</v>
      </c>
      <c r="J270" s="85">
        <f t="shared" si="118"/>
        <v>1.2</v>
      </c>
      <c r="K270" s="618">
        <f t="shared" ref="K270:O270" si="120">K$256/K$252*K262</f>
        <v>1.4357823685373399</v>
      </c>
      <c r="L270" s="618">
        <f t="shared" si="120"/>
        <v>1.4958411115811741</v>
      </c>
      <c r="M270" s="618">
        <f t="shared" si="120"/>
        <v>1.5675342134972692</v>
      </c>
      <c r="N270" s="618">
        <f t="shared" si="120"/>
        <v>1.6468000337798698</v>
      </c>
      <c r="O270" s="618">
        <f t="shared" si="120"/>
        <v>1.7224750735150685</v>
      </c>
    </row>
    <row r="271" spans="1:15">
      <c r="B271" s="233"/>
      <c r="C271" s="232" t="s">
        <v>76</v>
      </c>
      <c r="F271" s="38" t="s">
        <v>105</v>
      </c>
      <c r="I271" s="291">
        <f>I172</f>
        <v>18.7</v>
      </c>
      <c r="J271" s="291">
        <f>J172</f>
        <v>18.2</v>
      </c>
      <c r="K271" s="618">
        <f t="shared" ref="K271:O272" si="121">K$256/K$252*K263</f>
        <v>19.143764913831198</v>
      </c>
      <c r="L271" s="618">
        <f t="shared" si="121"/>
        <v>19.944548154415656</v>
      </c>
      <c r="M271" s="618">
        <f t="shared" si="121"/>
        <v>20.900456179963591</v>
      </c>
      <c r="N271" s="618">
        <f t="shared" si="121"/>
        <v>21.957333783731595</v>
      </c>
      <c r="O271" s="618">
        <f t="shared" si="121"/>
        <v>22.966334313534244</v>
      </c>
    </row>
    <row r="272" spans="1:15">
      <c r="B272" s="233"/>
      <c r="C272" s="232" t="s">
        <v>77</v>
      </c>
      <c r="F272" s="38" t="s">
        <v>105</v>
      </c>
      <c r="I272" s="292">
        <f>I173</f>
        <v>4.9000000000000004</v>
      </c>
      <c r="J272" s="292">
        <f>J173</f>
        <v>4.8</v>
      </c>
      <c r="K272" s="619">
        <f t="shared" si="121"/>
        <v>4.7859412284577996</v>
      </c>
      <c r="L272" s="619">
        <f t="shared" si="121"/>
        <v>4.9861370386039141</v>
      </c>
      <c r="M272" s="619">
        <f t="shared" si="121"/>
        <v>5.2251140449908977</v>
      </c>
      <c r="N272" s="619">
        <f t="shared" si="121"/>
        <v>5.4893334459328988</v>
      </c>
      <c r="O272" s="619">
        <f t="shared" si="121"/>
        <v>5.7415835783835609</v>
      </c>
    </row>
    <row r="273" spans="1:15">
      <c r="B273" s="233"/>
      <c r="C273" s="288" t="s">
        <v>183</v>
      </c>
      <c r="D273" s="21"/>
      <c r="E273" s="21"/>
      <c r="F273" s="46" t="s">
        <v>105</v>
      </c>
      <c r="I273" s="293">
        <f>SUM(I267:I270)-SUM(I271:I272)</f>
        <v>56.500000000000007</v>
      </c>
      <c r="J273" s="293">
        <f t="shared" ref="J273:O273" si="122">SUM(J267:J270)-SUM(J271:J272)</f>
        <v>56.500000000000014</v>
      </c>
      <c r="K273" s="620">
        <f t="shared" si="122"/>
        <v>58.565983429076446</v>
      </c>
      <c r="L273" s="620">
        <f t="shared" si="122"/>
        <v>52.014247547329461</v>
      </c>
      <c r="M273" s="620">
        <f t="shared" si="122"/>
        <v>53.287837906489585</v>
      </c>
      <c r="N273" s="620">
        <f t="shared" si="122"/>
        <v>54.423811008335562</v>
      </c>
      <c r="O273" s="620">
        <f t="shared" si="122"/>
        <v>51.206825322789044</v>
      </c>
    </row>
    <row r="274" spans="1:15">
      <c r="B274" s="233"/>
      <c r="C274" s="232"/>
      <c r="F274" s="38"/>
      <c r="H274" s="223"/>
      <c r="I274" s="223"/>
      <c r="J274" s="223"/>
      <c r="K274" s="223"/>
      <c r="L274" s="223"/>
      <c r="M274" s="223"/>
      <c r="N274" s="223"/>
      <c r="O274" s="223"/>
    </row>
    <row r="275" spans="1:15">
      <c r="B275" s="288" t="s">
        <v>184</v>
      </c>
      <c r="C275" s="233"/>
      <c r="F275" s="46" t="s">
        <v>105</v>
      </c>
      <c r="H275" s="223"/>
      <c r="I275" s="223"/>
      <c r="J275" s="96">
        <f>I273-J273</f>
        <v>0</v>
      </c>
      <c r="K275" s="96">
        <f t="shared" ref="K275:O275" si="123">J273-K273</f>
        <v>-2.0659834290764323</v>
      </c>
      <c r="L275" s="96">
        <f t="shared" si="123"/>
        <v>6.5517358817469855</v>
      </c>
      <c r="M275" s="96">
        <f t="shared" si="123"/>
        <v>-1.2735903591601243</v>
      </c>
      <c r="N275" s="96">
        <f t="shared" si="123"/>
        <v>-1.1359731018459769</v>
      </c>
      <c r="O275" s="96">
        <f t="shared" si="123"/>
        <v>3.2169856855465184</v>
      </c>
    </row>
    <row r="276" spans="1:15">
      <c r="B276" s="23"/>
      <c r="C276" s="289"/>
      <c r="D276" s="23"/>
      <c r="E276" s="23"/>
      <c r="F276" s="23"/>
      <c r="G276" s="23"/>
      <c r="H276" s="23"/>
      <c r="I276" s="23"/>
      <c r="J276" s="621" t="s">
        <v>301</v>
      </c>
      <c r="K276" s="23"/>
      <c r="L276" s="23"/>
      <c r="M276" s="23"/>
      <c r="N276" s="23"/>
      <c r="O276" s="23"/>
    </row>
    <row r="278" spans="1:15" ht="12.75" customHeight="1">
      <c r="A278" s="10"/>
      <c r="B278" s="11"/>
      <c r="C278" s="9"/>
      <c r="D278" s="9"/>
      <c r="E278" s="9"/>
      <c r="F278" s="31"/>
      <c r="G278" s="9"/>
      <c r="H278" s="9"/>
      <c r="I278" s="9"/>
      <c r="J278" s="9"/>
      <c r="K278" s="9"/>
      <c r="L278" s="9"/>
      <c r="M278" s="9"/>
      <c r="N278" s="9"/>
      <c r="O278" s="98" t="str">
        <f>$O$1</f>
        <v>Currently Running : Base Case Scenario</v>
      </c>
    </row>
    <row r="279" spans="1:15" ht="22.8">
      <c r="B279" s="11" t="str">
        <f>B$2</f>
        <v>Blu Containers Company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spans="1:15" ht="17.399999999999999">
      <c r="B280" s="13" t="s">
        <v>185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ht="3" customHeight="1">
      <c r="A281" s="12"/>
      <c r="B281" s="15"/>
      <c r="C281" s="16"/>
      <c r="D281" s="16"/>
      <c r="E281" s="16"/>
      <c r="F281" s="33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>
      <c r="B282" s="555" t="s">
        <v>8</v>
      </c>
      <c r="F282"/>
      <c r="O282" s="18"/>
    </row>
    <row r="283" spans="1:15">
      <c r="F283"/>
      <c r="H283" s="9"/>
      <c r="I283" s="9"/>
      <c r="J283" s="9"/>
      <c r="K283" s="69" t="s">
        <v>7</v>
      </c>
      <c r="L283" s="70"/>
      <c r="M283" s="70"/>
      <c r="N283" s="70"/>
      <c r="O283" s="70"/>
    </row>
    <row r="284" spans="1:15">
      <c r="F284"/>
      <c r="G284" s="139"/>
      <c r="H284" s="139"/>
      <c r="I284" s="139"/>
      <c r="J284" s="36">
        <f t="shared" ref="J284:O284" si="124">J$7</f>
        <v>2022</v>
      </c>
      <c r="K284" s="88">
        <f t="shared" si="124"/>
        <v>2023</v>
      </c>
      <c r="L284" s="88">
        <f t="shared" si="124"/>
        <v>2024</v>
      </c>
      <c r="M284" s="88">
        <f t="shared" si="124"/>
        <v>2025</v>
      </c>
      <c r="N284" s="88">
        <f t="shared" si="124"/>
        <v>2026</v>
      </c>
      <c r="O284" s="88">
        <f t="shared" si="124"/>
        <v>2027</v>
      </c>
    </row>
    <row r="285" spans="1:15" ht="6" customHeight="1"/>
    <row r="286" spans="1:15">
      <c r="B286" s="21" t="s">
        <v>186</v>
      </c>
      <c r="K286" s="294"/>
      <c r="L286" s="294"/>
      <c r="M286" s="294"/>
      <c r="N286" s="294"/>
      <c r="O286" s="294"/>
    </row>
    <row r="287" spans="1:15" ht="6" customHeight="1"/>
    <row r="288" spans="1:15">
      <c r="A288" s="614">
        <v>1</v>
      </c>
      <c r="C288" s="21" t="s">
        <v>145</v>
      </c>
    </row>
    <row r="289" spans="1:15">
      <c r="D289" t="s">
        <v>187</v>
      </c>
      <c r="K289" s="622">
        <f>J291</f>
        <v>0.3</v>
      </c>
      <c r="L289" s="270">
        <f>K291</f>
        <v>2.8310687127941492E-15</v>
      </c>
      <c r="M289" s="622">
        <f t="shared" ref="M289:O289" si="125">L291</f>
        <v>2.8310687127941492E-15</v>
      </c>
      <c r="N289" s="270">
        <f>M291</f>
        <v>2.8310687127941492E-15</v>
      </c>
      <c r="O289" s="622">
        <f t="shared" si="125"/>
        <v>1.4165088683299232</v>
      </c>
    </row>
    <row r="290" spans="1:15">
      <c r="D290" t="s">
        <v>188</v>
      </c>
      <c r="J290" s="23"/>
      <c r="K290" s="295">
        <f>K142</f>
        <v>-0.29999999999999716</v>
      </c>
      <c r="L290" s="295">
        <f t="shared" ref="L290:O290" si="126">L142</f>
        <v>0</v>
      </c>
      <c r="M290" s="295">
        <f t="shared" si="126"/>
        <v>0</v>
      </c>
      <c r="N290" s="295">
        <f t="shared" si="126"/>
        <v>1.4165088683299203</v>
      </c>
      <c r="O290" s="295">
        <f t="shared" si="126"/>
        <v>-1.4165088683299203</v>
      </c>
    </row>
    <row r="291" spans="1:15">
      <c r="D291" t="s">
        <v>189</v>
      </c>
      <c r="I291" s="296"/>
      <c r="J291" s="270">
        <f>J156</f>
        <v>0.3</v>
      </c>
      <c r="K291" s="270">
        <f>K289+K290</f>
        <v>2.8310687127941492E-15</v>
      </c>
      <c r="L291" s="270">
        <f t="shared" ref="L291:O291" si="127">L289+L290</f>
        <v>2.8310687127941492E-15</v>
      </c>
      <c r="M291" s="270">
        <f t="shared" si="127"/>
        <v>2.8310687127941492E-15</v>
      </c>
      <c r="N291" s="270">
        <f t="shared" si="127"/>
        <v>1.4165088683299232</v>
      </c>
      <c r="O291" s="270">
        <f t="shared" si="127"/>
        <v>2.886579864025407E-15</v>
      </c>
    </row>
    <row r="292" spans="1:15" ht="6" customHeight="1"/>
    <row r="293" spans="1:15">
      <c r="D293" t="s">
        <v>190</v>
      </c>
      <c r="K293" s="297">
        <f>Assumptions!N27</f>
        <v>0.01</v>
      </c>
      <c r="L293" s="298">
        <f>K293</f>
        <v>0.01</v>
      </c>
      <c r="M293" s="298">
        <f t="shared" ref="M293:O293" si="128">L293</f>
        <v>0.01</v>
      </c>
      <c r="N293" s="298">
        <f t="shared" si="128"/>
        <v>0.01</v>
      </c>
      <c r="O293" s="298">
        <f t="shared" si="128"/>
        <v>0.01</v>
      </c>
    </row>
    <row r="294" spans="1:15">
      <c r="D294" s="21" t="s">
        <v>191</v>
      </c>
      <c r="K294" s="299">
        <f>K293*K289</f>
        <v>3.0000000000000001E-3</v>
      </c>
      <c r="L294" s="299">
        <f t="shared" ref="L294:O294" si="129">L293*L289</f>
        <v>2.8310687127941492E-17</v>
      </c>
      <c r="M294" s="299">
        <f t="shared" si="129"/>
        <v>2.8310687127941492E-17</v>
      </c>
      <c r="N294" s="299">
        <f t="shared" si="129"/>
        <v>2.8310687127941492E-17</v>
      </c>
      <c r="O294" s="299">
        <f t="shared" si="129"/>
        <v>1.4165088683299232E-2</v>
      </c>
    </row>
    <row r="295" spans="1:15" ht="6" customHeight="1"/>
    <row r="297" spans="1:15">
      <c r="A297" s="614">
        <v>3</v>
      </c>
      <c r="C297" s="21" t="s">
        <v>192</v>
      </c>
    </row>
    <row r="298" spans="1:15">
      <c r="B298" s="21"/>
      <c r="D298" t="s">
        <v>130</v>
      </c>
      <c r="H298" s="290"/>
      <c r="I298" s="627" t="s">
        <v>306</v>
      </c>
      <c r="J298" s="290"/>
      <c r="K298" s="163">
        <f>K125</f>
        <v>45.564057162321397</v>
      </c>
      <c r="L298" s="163">
        <f>L125</f>
        <v>37.910190024572145</v>
      </c>
      <c r="M298" s="163">
        <f t="shared" ref="M298:O298" si="130">M125</f>
        <v>56.575102333111047</v>
      </c>
      <c r="N298" s="163">
        <f t="shared" si="130"/>
        <v>51.809239317491695</v>
      </c>
      <c r="O298" s="163">
        <f t="shared" si="130"/>
        <v>42.853148023146566</v>
      </c>
    </row>
    <row r="299" spans="1:15">
      <c r="B299" s="21"/>
      <c r="D299" t="s">
        <v>133</v>
      </c>
      <c r="H299" s="290"/>
      <c r="I299" s="627" t="s">
        <v>307</v>
      </c>
      <c r="J299" s="290"/>
      <c r="K299" s="163">
        <f>K131</f>
        <v>-16</v>
      </c>
      <c r="L299" s="163">
        <f t="shared" ref="L299:O299" si="131">L131</f>
        <v>-17</v>
      </c>
      <c r="M299" s="163">
        <f t="shared" si="131"/>
        <v>-17.3</v>
      </c>
      <c r="N299" s="163">
        <f t="shared" si="131"/>
        <v>-17.5</v>
      </c>
      <c r="O299" s="163">
        <f t="shared" si="131"/>
        <v>-18</v>
      </c>
    </row>
    <row r="300" spans="1:15">
      <c r="B300" s="21"/>
      <c r="D300" t="s">
        <v>193</v>
      </c>
      <c r="H300" s="290"/>
      <c r="I300" s="627" t="s">
        <v>308</v>
      </c>
      <c r="J300" s="290"/>
      <c r="K300" s="163">
        <f>K318</f>
        <v>-25</v>
      </c>
      <c r="L300" s="163">
        <f t="shared" ref="L300:O300" si="132">L318</f>
        <v>-25</v>
      </c>
      <c r="M300" s="163">
        <f t="shared" si="132"/>
        <v>-25</v>
      </c>
      <c r="N300" s="163">
        <f t="shared" si="132"/>
        <v>-25</v>
      </c>
      <c r="O300" s="163">
        <f t="shared" si="132"/>
        <v>-25</v>
      </c>
    </row>
    <row r="301" spans="1:15">
      <c r="B301" s="21"/>
      <c r="D301" t="s">
        <v>80</v>
      </c>
      <c r="H301" s="290"/>
      <c r="I301" s="627" t="s">
        <v>309</v>
      </c>
      <c r="J301" s="290"/>
      <c r="K301" s="163">
        <f>K339</f>
        <v>0</v>
      </c>
      <c r="L301" s="163">
        <f t="shared" ref="L301:O301" si="133">L339</f>
        <v>0</v>
      </c>
      <c r="M301" s="163">
        <f t="shared" si="133"/>
        <v>0</v>
      </c>
      <c r="N301" s="163">
        <f t="shared" si="133"/>
        <v>0</v>
      </c>
      <c r="O301" s="163">
        <f t="shared" si="133"/>
        <v>0</v>
      </c>
    </row>
    <row r="302" spans="1:15">
      <c r="B302" s="21"/>
      <c r="D302" t="s">
        <v>194</v>
      </c>
      <c r="H302" s="290"/>
      <c r="I302" s="627" t="s">
        <v>309</v>
      </c>
      <c r="J302" s="290"/>
      <c r="K302" s="93">
        <f>-K344</f>
        <v>-5.9410747849462329</v>
      </c>
      <c r="L302" s="93">
        <f t="shared" ref="L302:O302" si="134">-L344</f>
        <v>-2.5767574952316985</v>
      </c>
      <c r="M302" s="93">
        <f t="shared" si="134"/>
        <v>-7.7604718717875691</v>
      </c>
      <c r="N302" s="93">
        <f t="shared" si="134"/>
        <v>-6.6637758172008681</v>
      </c>
      <c r="O302" s="93">
        <f t="shared" si="134"/>
        <v>-3.8836324675200098</v>
      </c>
    </row>
    <row r="303" spans="1:15">
      <c r="D303" s="21" t="s">
        <v>195</v>
      </c>
      <c r="K303" s="300">
        <f>SUM(K298:K302)</f>
        <v>-1.3770176226248356</v>
      </c>
      <c r="L303" s="300">
        <f>SUM(L298:L302)</f>
        <v>-6.6665674706595528</v>
      </c>
      <c r="M303" s="300">
        <f t="shared" ref="M303:N303" si="135">SUM(M298:M302)</f>
        <v>6.5146304613234811</v>
      </c>
      <c r="N303" s="300">
        <f t="shared" si="135"/>
        <v>2.6454635002908269</v>
      </c>
      <c r="O303" s="300">
        <f>SUM(O298:O302)</f>
        <v>-4.0304844443734433</v>
      </c>
    </row>
    <row r="304" spans="1:15">
      <c r="C304" s="21"/>
    </row>
    <row r="305" spans="1:15">
      <c r="D305" t="s">
        <v>196</v>
      </c>
      <c r="I305" s="601" t="s">
        <v>311</v>
      </c>
      <c r="K305" s="157">
        <f>J307</f>
        <v>0</v>
      </c>
      <c r="L305" s="157">
        <f>K307</f>
        <v>1.0770176226248356</v>
      </c>
      <c r="M305" s="157">
        <f t="shared" ref="M305:O305" si="136">L307</f>
        <v>7.7435850932843859</v>
      </c>
      <c r="N305" s="157">
        <f t="shared" si="136"/>
        <v>1.2289546319609022</v>
      </c>
      <c r="O305" s="157">
        <f t="shared" si="136"/>
        <v>0</v>
      </c>
    </row>
    <row r="306" spans="1:15">
      <c r="D306" t="s">
        <v>197</v>
      </c>
      <c r="I306" s="624" t="s">
        <v>310</v>
      </c>
      <c r="J306" s="23"/>
      <c r="K306" s="295">
        <f>-MIN(K303+K289,K305)</f>
        <v>1.0770176226248356</v>
      </c>
      <c r="L306" s="295">
        <f>-MIN(L303+L289,L305)</f>
        <v>6.6665674706595501</v>
      </c>
      <c r="M306" s="295">
        <f t="shared" ref="M306:O306" si="137">-MIN(M303+M289,M305)</f>
        <v>-6.5146304613234838</v>
      </c>
      <c r="N306" s="295">
        <f t="shared" si="137"/>
        <v>-1.2289546319609022</v>
      </c>
      <c r="O306" s="295">
        <f t="shared" si="137"/>
        <v>2.6139755760435204</v>
      </c>
    </row>
    <row r="307" spans="1:15">
      <c r="D307" t="s">
        <v>198</v>
      </c>
      <c r="I307" s="296"/>
      <c r="J307" s="270">
        <f>J171</f>
        <v>0</v>
      </c>
      <c r="K307" s="270">
        <f>K305+K306</f>
        <v>1.0770176226248356</v>
      </c>
      <c r="L307" s="270">
        <f t="shared" ref="L307:O307" si="138">L305+L306</f>
        <v>7.7435850932843859</v>
      </c>
      <c r="M307" s="270">
        <f t="shared" si="138"/>
        <v>1.2289546319609022</v>
      </c>
      <c r="N307" s="270">
        <f t="shared" si="138"/>
        <v>0</v>
      </c>
      <c r="O307" s="270">
        <f t="shared" si="138"/>
        <v>2.6139755760435204</v>
      </c>
    </row>
    <row r="308" spans="1:15" ht="6" customHeight="1"/>
    <row r="309" spans="1:15">
      <c r="D309" t="s">
        <v>190</v>
      </c>
      <c r="K309" s="301">
        <f>Assumptions!N28</f>
        <v>0.06</v>
      </c>
      <c r="L309" s="83">
        <f>K309</f>
        <v>0.06</v>
      </c>
      <c r="M309" s="83">
        <f t="shared" ref="M309:O309" si="139">L309</f>
        <v>0.06</v>
      </c>
      <c r="N309" s="83">
        <f t="shared" si="139"/>
        <v>0.06</v>
      </c>
      <c r="O309" s="83">
        <f t="shared" si="139"/>
        <v>0.06</v>
      </c>
    </row>
    <row r="310" spans="1:15">
      <c r="D310" s="21" t="s">
        <v>199</v>
      </c>
      <c r="K310" s="299">
        <f>K309*K305</f>
        <v>0</v>
      </c>
      <c r="L310" s="299">
        <f>L309*L305</f>
        <v>6.462105735749013E-2</v>
      </c>
      <c r="M310" s="299">
        <f t="shared" ref="M310:O310" si="140">M309*M305</f>
        <v>0.46461510559706315</v>
      </c>
      <c r="N310" s="299">
        <f t="shared" si="140"/>
        <v>7.3737277917654123E-2</v>
      </c>
      <c r="O310" s="299">
        <f t="shared" si="140"/>
        <v>0</v>
      </c>
    </row>
    <row r="311" spans="1:15" ht="6" customHeight="1"/>
    <row r="313" spans="1:15">
      <c r="A313" s="614">
        <v>2</v>
      </c>
      <c r="C313" s="21" t="s">
        <v>154</v>
      </c>
    </row>
    <row r="314" spans="1:15">
      <c r="A314" s="614"/>
      <c r="C314" s="21"/>
      <c r="D314" t="s">
        <v>302</v>
      </c>
      <c r="K314" s="623">
        <v>0.1</v>
      </c>
      <c r="L314" s="623">
        <v>0.15</v>
      </c>
      <c r="M314" s="623">
        <v>0.2</v>
      </c>
      <c r="N314" s="623">
        <v>0.25</v>
      </c>
      <c r="O314" s="623">
        <f>1-SUM(K314:N314)</f>
        <v>0.30000000000000004</v>
      </c>
    </row>
    <row r="315" spans="1:15">
      <c r="D315" t="s">
        <v>187</v>
      </c>
      <c r="K315" s="157">
        <f>J319</f>
        <v>200</v>
      </c>
      <c r="L315" s="157">
        <f t="shared" ref="L315:O315" si="141">K319</f>
        <v>175</v>
      </c>
      <c r="M315" s="157">
        <f t="shared" si="141"/>
        <v>150</v>
      </c>
      <c r="N315" s="157">
        <f t="shared" si="141"/>
        <v>125</v>
      </c>
      <c r="O315" s="157">
        <f t="shared" si="141"/>
        <v>100</v>
      </c>
    </row>
    <row r="316" spans="1:15" hidden="1">
      <c r="D316" s="624" t="s">
        <v>305</v>
      </c>
      <c r="K316" s="625">
        <f>J320</f>
        <v>200</v>
      </c>
      <c r="L316" s="625">
        <f t="shared" ref="L316:O316" si="142">K320</f>
        <v>180</v>
      </c>
      <c r="M316" s="625">
        <f t="shared" si="142"/>
        <v>150</v>
      </c>
      <c r="N316" s="625">
        <f t="shared" si="142"/>
        <v>110</v>
      </c>
      <c r="O316" s="625">
        <f t="shared" si="142"/>
        <v>60</v>
      </c>
    </row>
    <row r="317" spans="1:15" hidden="1">
      <c r="D317" s="624" t="s">
        <v>304</v>
      </c>
      <c r="K317" s="625">
        <f>-K314*$J$319</f>
        <v>-20</v>
      </c>
      <c r="L317" s="625">
        <f t="shared" ref="L317:O317" si="143">-L314*$J$319</f>
        <v>-30</v>
      </c>
      <c r="M317" s="625">
        <f t="shared" si="143"/>
        <v>-40</v>
      </c>
      <c r="N317" s="625">
        <f t="shared" si="143"/>
        <v>-50</v>
      </c>
      <c r="O317" s="625">
        <f t="shared" si="143"/>
        <v>-60.000000000000007</v>
      </c>
    </row>
    <row r="318" spans="1:15">
      <c r="D318" t="s">
        <v>197</v>
      </c>
      <c r="J318" s="23"/>
      <c r="K318" s="302">
        <f>Assumptions!J72</f>
        <v>-25</v>
      </c>
      <c r="L318" s="302">
        <f>Assumptions!K72</f>
        <v>-25</v>
      </c>
      <c r="M318" s="302">
        <f>Assumptions!L72</f>
        <v>-25</v>
      </c>
      <c r="N318" s="302">
        <f>Assumptions!M72</f>
        <v>-25</v>
      </c>
      <c r="O318" s="302">
        <f>Assumptions!N72</f>
        <v>-25</v>
      </c>
    </row>
    <row r="319" spans="1:15">
      <c r="D319" t="s">
        <v>189</v>
      </c>
      <c r="I319" s="296"/>
      <c r="J319" s="270">
        <f>J177</f>
        <v>200</v>
      </c>
      <c r="K319" s="270">
        <f>K315+K318</f>
        <v>175</v>
      </c>
      <c r="L319" s="270">
        <f t="shared" ref="L319:O319" si="144">L315+L318</f>
        <v>150</v>
      </c>
      <c r="M319" s="270">
        <f t="shared" si="144"/>
        <v>125</v>
      </c>
      <c r="N319" s="270">
        <f t="shared" si="144"/>
        <v>100</v>
      </c>
      <c r="O319" s="270">
        <f t="shared" si="144"/>
        <v>75</v>
      </c>
    </row>
    <row r="320" spans="1:15" hidden="1">
      <c r="D320" s="624" t="s">
        <v>303</v>
      </c>
      <c r="I320" s="296"/>
      <c r="J320" s="626">
        <f>J319</f>
        <v>200</v>
      </c>
      <c r="K320" s="626">
        <f>K316+K317</f>
        <v>180</v>
      </c>
      <c r="L320" s="626">
        <f t="shared" ref="L320:O320" si="145">L316+L317</f>
        <v>150</v>
      </c>
      <c r="M320" s="626">
        <f t="shared" si="145"/>
        <v>110</v>
      </c>
      <c r="N320" s="626">
        <f t="shared" si="145"/>
        <v>60</v>
      </c>
      <c r="O320" s="626">
        <f t="shared" si="145"/>
        <v>0</v>
      </c>
    </row>
    <row r="321" spans="1:15" ht="6" customHeight="1"/>
    <row r="322" spans="1:15">
      <c r="D322" t="s">
        <v>190</v>
      </c>
      <c r="K322" s="301">
        <f>Assumptions!N29</f>
        <v>0.06</v>
      </c>
      <c r="L322" s="83">
        <f>K322</f>
        <v>0.06</v>
      </c>
      <c r="M322" s="83">
        <f t="shared" ref="M322:O322" si="146">L322</f>
        <v>0.06</v>
      </c>
      <c r="N322" s="83">
        <f t="shared" si="146"/>
        <v>0.06</v>
      </c>
      <c r="O322" s="83">
        <f t="shared" si="146"/>
        <v>0.06</v>
      </c>
    </row>
    <row r="323" spans="1:15">
      <c r="D323" s="21" t="s">
        <v>199</v>
      </c>
      <c r="K323" s="299">
        <f>K322*K315</f>
        <v>12</v>
      </c>
      <c r="L323" s="299">
        <f t="shared" ref="L323:O323" si="147">L322*L315</f>
        <v>10.5</v>
      </c>
      <c r="M323" s="299">
        <f t="shared" si="147"/>
        <v>9</v>
      </c>
      <c r="N323" s="299">
        <f t="shared" si="147"/>
        <v>7.5</v>
      </c>
      <c r="O323" s="299">
        <f t="shared" si="147"/>
        <v>6</v>
      </c>
    </row>
    <row r="326" spans="1:15">
      <c r="C326" s="21" t="s">
        <v>200</v>
      </c>
      <c r="K326" s="158">
        <f>K323+K310</f>
        <v>12</v>
      </c>
      <c r="L326" s="158">
        <f t="shared" ref="L326:O326" si="148">L323+L310</f>
        <v>10.56462105735749</v>
      </c>
      <c r="M326" s="158">
        <f t="shared" si="148"/>
        <v>9.4646151055970638</v>
      </c>
      <c r="N326" s="158">
        <f t="shared" si="148"/>
        <v>7.5737372779176537</v>
      </c>
      <c r="O326" s="158">
        <f t="shared" si="148"/>
        <v>6</v>
      </c>
    </row>
    <row r="327" spans="1:15">
      <c r="B327" s="23"/>
      <c r="C327" s="23"/>
      <c r="D327" s="23"/>
      <c r="E327" s="23"/>
      <c r="F327" s="53"/>
      <c r="G327" s="23"/>
      <c r="H327" s="23"/>
      <c r="I327" s="23"/>
      <c r="J327" s="23"/>
      <c r="K327" s="23"/>
      <c r="L327" s="23"/>
      <c r="M327" s="23"/>
      <c r="N327" s="23"/>
      <c r="O327" s="23"/>
    </row>
    <row r="329" spans="1:15" ht="12.75" customHeight="1">
      <c r="A329" s="10"/>
      <c r="B329" s="11"/>
      <c r="C329" s="9"/>
      <c r="D329" s="9"/>
      <c r="E329" s="9"/>
      <c r="F329" s="31"/>
      <c r="G329" s="9"/>
      <c r="H329" s="9"/>
      <c r="I329" s="9"/>
      <c r="J329" s="9"/>
      <c r="K329" s="9"/>
      <c r="L329" s="9"/>
      <c r="M329" s="9"/>
      <c r="N329" s="9"/>
      <c r="O329" s="98" t="str">
        <f>$O$1</f>
        <v>Currently Running : Base Case Scenario</v>
      </c>
    </row>
    <row r="330" spans="1:15" ht="22.8">
      <c r="B330" s="11" t="str">
        <f>B$2</f>
        <v>Blu Containers Company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ht="17.399999999999999">
      <c r="B331" s="13" t="s">
        <v>201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spans="1:15" ht="3" customHeight="1">
      <c r="A332" s="12"/>
      <c r="B332" s="15"/>
      <c r="C332" s="16"/>
      <c r="D332" s="16"/>
      <c r="E332" s="16"/>
      <c r="F332" s="33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>
      <c r="B333" s="555" t="s">
        <v>8</v>
      </c>
      <c r="F333"/>
      <c r="O333" s="18"/>
    </row>
    <row r="334" spans="1:15">
      <c r="F334"/>
      <c r="H334" s="9"/>
      <c r="I334" s="9"/>
      <c r="J334" s="9"/>
      <c r="K334" s="69" t="s">
        <v>7</v>
      </c>
      <c r="L334" s="70"/>
      <c r="M334" s="70"/>
      <c r="N334" s="70"/>
      <c r="O334" s="70"/>
    </row>
    <row r="335" spans="1:15">
      <c r="D335" s="624" t="s">
        <v>312</v>
      </c>
      <c r="F335"/>
      <c r="G335" s="139"/>
      <c r="H335" s="139"/>
      <c r="I335" s="139"/>
      <c r="J335" s="36">
        <f t="shared" ref="J335:O335" si="149">J$7</f>
        <v>2022</v>
      </c>
      <c r="K335" s="88">
        <f t="shared" si="149"/>
        <v>2023</v>
      </c>
      <c r="L335" s="88">
        <f t="shared" si="149"/>
        <v>2024</v>
      </c>
      <c r="M335" s="88">
        <f t="shared" si="149"/>
        <v>2025</v>
      </c>
      <c r="N335" s="88">
        <f t="shared" si="149"/>
        <v>2026</v>
      </c>
      <c r="O335" s="88">
        <f t="shared" si="149"/>
        <v>2027</v>
      </c>
    </row>
    <row r="337" spans="2:15" ht="13.35" customHeight="1">
      <c r="B337" s="21"/>
      <c r="C337" s="21" t="s">
        <v>157</v>
      </c>
    </row>
    <row r="338" spans="2:15" ht="13.35" customHeight="1">
      <c r="D338" t="s">
        <v>187</v>
      </c>
      <c r="G338" s="38"/>
      <c r="K338" s="157">
        <f>J340</f>
        <v>120</v>
      </c>
      <c r="L338" s="157">
        <f t="shared" ref="L338:O338" si="150">K340</f>
        <v>120</v>
      </c>
      <c r="M338" s="157">
        <f t="shared" si="150"/>
        <v>120</v>
      </c>
      <c r="N338" s="157">
        <f t="shared" si="150"/>
        <v>120</v>
      </c>
      <c r="O338" s="157">
        <f t="shared" si="150"/>
        <v>120</v>
      </c>
    </row>
    <row r="339" spans="2:15" ht="13.35" customHeight="1">
      <c r="D339" t="s">
        <v>202</v>
      </c>
      <c r="H339" s="624" t="s">
        <v>313</v>
      </c>
      <c r="J339" s="23"/>
      <c r="K339" s="302">
        <f>Assumptions!J73</f>
        <v>0</v>
      </c>
      <c r="L339" s="302">
        <f>Assumptions!K73</f>
        <v>0</v>
      </c>
      <c r="M339" s="302">
        <f>Assumptions!L73</f>
        <v>0</v>
      </c>
      <c r="N339" s="302">
        <f>Assumptions!M73</f>
        <v>0</v>
      </c>
      <c r="O339" s="302">
        <f>Assumptions!N73</f>
        <v>0</v>
      </c>
    </row>
    <row r="340" spans="2:15" ht="13.35" customHeight="1">
      <c r="D340" t="s">
        <v>189</v>
      </c>
      <c r="J340" s="270">
        <f>J182</f>
        <v>120</v>
      </c>
      <c r="K340" s="270">
        <f>K338+K339</f>
        <v>120</v>
      </c>
      <c r="L340" s="270">
        <f t="shared" ref="L340:O340" si="151">L338+L339</f>
        <v>120</v>
      </c>
      <c r="M340" s="270">
        <f t="shared" si="151"/>
        <v>120</v>
      </c>
      <c r="N340" s="270">
        <f t="shared" si="151"/>
        <v>120</v>
      </c>
      <c r="O340" s="270">
        <f t="shared" si="151"/>
        <v>120</v>
      </c>
    </row>
    <row r="341" spans="2:15" ht="6" customHeight="1"/>
    <row r="342" spans="2:15" ht="13.35" customHeight="1">
      <c r="D342" t="s">
        <v>203</v>
      </c>
      <c r="K342" s="301">
        <f>Assumptions!N10</f>
        <v>0.2</v>
      </c>
      <c r="L342" s="49">
        <f>K342</f>
        <v>0.2</v>
      </c>
      <c r="M342" s="49">
        <f>L342</f>
        <v>0.2</v>
      </c>
      <c r="N342" s="49">
        <f>M342</f>
        <v>0.2</v>
      </c>
      <c r="O342" s="49">
        <f>N342</f>
        <v>0.2</v>
      </c>
    </row>
    <row r="343" spans="2:15" ht="13.35" customHeight="1">
      <c r="D343" t="s">
        <v>17</v>
      </c>
      <c r="K343" s="157">
        <f>K104</f>
        <v>29.705373924731163</v>
      </c>
      <c r="L343" s="157">
        <f t="shared" ref="L343:O343" si="152">L104</f>
        <v>12.883787476158492</v>
      </c>
      <c r="M343" s="157">
        <f t="shared" si="152"/>
        <v>38.802359358937842</v>
      </c>
      <c r="N343" s="157">
        <f t="shared" si="152"/>
        <v>33.318879086004337</v>
      </c>
      <c r="O343" s="157">
        <f t="shared" si="152"/>
        <v>19.418162337600048</v>
      </c>
    </row>
    <row r="344" spans="2:15" ht="13.35" customHeight="1">
      <c r="C344" s="21"/>
      <c r="D344" s="21" t="s">
        <v>204</v>
      </c>
      <c r="H344" s="624" t="s">
        <v>314</v>
      </c>
      <c r="K344" s="299">
        <f>MAX(K342*K343,0)</f>
        <v>5.9410747849462329</v>
      </c>
      <c r="L344" s="299">
        <f t="shared" ref="L344:O344" si="153">MAX(L342*L343,0)</f>
        <v>2.5767574952316985</v>
      </c>
      <c r="M344" s="299">
        <f t="shared" si="153"/>
        <v>7.7604718717875691</v>
      </c>
      <c r="N344" s="299">
        <f t="shared" si="153"/>
        <v>6.6637758172008681</v>
      </c>
      <c r="O344" s="299">
        <f t="shared" si="153"/>
        <v>3.8836324675200098</v>
      </c>
    </row>
    <row r="345" spans="2:15">
      <c r="H345" s="624" t="s">
        <v>315</v>
      </c>
    </row>
    <row r="347" spans="2:15" ht="13.35" customHeight="1">
      <c r="B347" s="21"/>
      <c r="C347" s="21" t="s">
        <v>158</v>
      </c>
    </row>
    <row r="348" spans="2:15" ht="13.35" customHeight="1">
      <c r="D348" t="s">
        <v>187</v>
      </c>
      <c r="K348" s="157">
        <f>J351</f>
        <v>138.5</v>
      </c>
      <c r="L348" s="157">
        <f t="shared" ref="L348:O348" si="154">K351</f>
        <v>162.26429913978492</v>
      </c>
      <c r="M348" s="157">
        <f t="shared" si="154"/>
        <v>172.57132912071171</v>
      </c>
      <c r="N348" s="157">
        <f t="shared" si="154"/>
        <v>203.613216607862</v>
      </c>
      <c r="O348" s="157">
        <f t="shared" si="154"/>
        <v>230.26831987666546</v>
      </c>
    </row>
    <row r="349" spans="2:15" ht="13.35" customHeight="1">
      <c r="D349" t="s">
        <v>17</v>
      </c>
      <c r="K349" s="157">
        <f>K343</f>
        <v>29.705373924731163</v>
      </c>
      <c r="L349" s="157">
        <f t="shared" ref="L349:O349" si="155">L343</f>
        <v>12.883787476158492</v>
      </c>
      <c r="M349" s="157">
        <f t="shared" si="155"/>
        <v>38.802359358937842</v>
      </c>
      <c r="N349" s="157">
        <f t="shared" si="155"/>
        <v>33.318879086004337</v>
      </c>
      <c r="O349" s="157">
        <f t="shared" si="155"/>
        <v>19.418162337600048</v>
      </c>
    </row>
    <row r="350" spans="2:15" ht="13.35" customHeight="1">
      <c r="D350" t="s">
        <v>204</v>
      </c>
      <c r="J350" s="23"/>
      <c r="K350" s="295">
        <f>-K344</f>
        <v>-5.9410747849462329</v>
      </c>
      <c r="L350" s="295">
        <f t="shared" ref="L350:O350" si="156">-L344</f>
        <v>-2.5767574952316985</v>
      </c>
      <c r="M350" s="295">
        <f t="shared" si="156"/>
        <v>-7.7604718717875691</v>
      </c>
      <c r="N350" s="295">
        <f t="shared" si="156"/>
        <v>-6.6637758172008681</v>
      </c>
      <c r="O350" s="295">
        <f t="shared" si="156"/>
        <v>-3.8836324675200098</v>
      </c>
    </row>
    <row r="351" spans="2:15" ht="13.35" customHeight="1">
      <c r="D351" s="21" t="s">
        <v>189</v>
      </c>
      <c r="E351" s="21"/>
      <c r="F351" s="60"/>
      <c r="G351" s="21"/>
      <c r="H351" s="21"/>
      <c r="I351" s="21"/>
      <c r="J351" s="300">
        <f>J183</f>
        <v>138.5</v>
      </c>
      <c r="K351" s="300">
        <f>SUM(K348:K350)</f>
        <v>162.26429913978492</v>
      </c>
      <c r="L351" s="300">
        <f t="shared" ref="L351:O351" si="157">SUM(L348:L350)</f>
        <v>172.57132912071171</v>
      </c>
      <c r="M351" s="300">
        <f t="shared" si="157"/>
        <v>203.613216607862</v>
      </c>
      <c r="N351" s="300">
        <f t="shared" si="157"/>
        <v>230.26831987666546</v>
      </c>
      <c r="O351" s="300">
        <f t="shared" si="157"/>
        <v>245.80284974674549</v>
      </c>
    </row>
    <row r="352" spans="2:15">
      <c r="B352" s="23"/>
      <c r="C352" s="23"/>
      <c r="D352" s="23"/>
      <c r="E352" s="23"/>
      <c r="F352" s="53"/>
      <c r="G352" s="23"/>
      <c r="H352" s="23"/>
      <c r="I352" s="23"/>
      <c r="J352" s="23"/>
      <c r="K352" s="23"/>
      <c r="L352" s="23"/>
      <c r="M352" s="23"/>
      <c r="N352" s="23"/>
      <c r="O352" s="23"/>
    </row>
    <row r="354" spans="1:16">
      <c r="O354" s="98" t="str">
        <f>$O$1</f>
        <v>Currently Running : Base Case Scenario</v>
      </c>
    </row>
    <row r="355" spans="1:16" ht="22.8">
      <c r="B355" s="11" t="str">
        <f>B$2</f>
        <v>Blu Containers Company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spans="1:16" ht="17.399999999999999">
      <c r="B356" s="13" t="s">
        <v>327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spans="1:16" ht="3" customHeight="1" thickBot="1">
      <c r="A357" s="12"/>
      <c r="B357" s="15"/>
      <c r="C357" s="16"/>
      <c r="D357" s="16"/>
      <c r="E357" s="16"/>
      <c r="F357" s="33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6">
      <c r="B358" s="555" t="s">
        <v>8</v>
      </c>
      <c r="F358"/>
      <c r="O358" s="18"/>
    </row>
    <row r="359" spans="1:16">
      <c r="F359"/>
      <c r="H359" s="9"/>
      <c r="I359" s="9"/>
      <c r="J359" s="9"/>
      <c r="K359" s="69" t="s">
        <v>7</v>
      </c>
      <c r="L359" s="70"/>
      <c r="M359" s="70"/>
      <c r="N359" s="70"/>
      <c r="O359" s="70"/>
    </row>
    <row r="360" spans="1:16">
      <c r="D360" s="624"/>
      <c r="F360"/>
      <c r="G360" s="139"/>
      <c r="H360" s="139"/>
      <c r="I360" s="139"/>
      <c r="J360" s="36">
        <f t="shared" ref="J360:O360" si="158">J$7</f>
        <v>2022</v>
      </c>
      <c r="K360" s="88">
        <f t="shared" si="158"/>
        <v>2023</v>
      </c>
      <c r="L360" s="88">
        <f t="shared" si="158"/>
        <v>2024</v>
      </c>
      <c r="M360" s="88">
        <f t="shared" si="158"/>
        <v>2025</v>
      </c>
      <c r="N360" s="88">
        <f t="shared" si="158"/>
        <v>2026</v>
      </c>
      <c r="O360" s="88">
        <f t="shared" si="158"/>
        <v>2027</v>
      </c>
    </row>
    <row r="361" spans="1:16">
      <c r="B361" s="601" t="s">
        <v>328</v>
      </c>
    </row>
    <row r="362" spans="1:16">
      <c r="B362" s="628" t="s">
        <v>329</v>
      </c>
      <c r="J362" s="629">
        <f t="shared" ref="J362:O362" si="159">J319+J307</f>
        <v>200</v>
      </c>
      <c r="K362" s="629">
        <f t="shared" si="159"/>
        <v>176.07701762262482</v>
      </c>
      <c r="L362" s="629">
        <f t="shared" si="159"/>
        <v>157.74358509328439</v>
      </c>
      <c r="M362" s="629">
        <f t="shared" si="159"/>
        <v>126.2289546319609</v>
      </c>
      <c r="N362" s="629">
        <f t="shared" si="159"/>
        <v>100</v>
      </c>
      <c r="O362" s="629">
        <f t="shared" si="159"/>
        <v>77.613975576043515</v>
      </c>
      <c r="P362" s="629"/>
    </row>
    <row r="363" spans="1:16">
      <c r="B363" t="s">
        <v>15</v>
      </c>
      <c r="J363" s="130">
        <f>J92</f>
        <v>33.099999999999966</v>
      </c>
      <c r="K363" s="130">
        <f t="shared" ref="K363:O363" si="160">K92</f>
        <v>73.875241935483842</v>
      </c>
      <c r="L363" s="130">
        <f t="shared" si="160"/>
        <v>47.11049922580645</v>
      </c>
      <c r="M363" s="130">
        <f t="shared" si="160"/>
        <v>86.456885914219384</v>
      </c>
      <c r="N363" s="130">
        <f t="shared" si="160"/>
        <v>76.709884589719195</v>
      </c>
      <c r="O363" s="130">
        <f t="shared" si="160"/>
        <v>54.342095904000075</v>
      </c>
    </row>
    <row r="365" spans="1:16">
      <c r="B365" s="601" t="s">
        <v>332</v>
      </c>
    </row>
    <row r="366" spans="1:16">
      <c r="B366" s="628" t="s">
        <v>330</v>
      </c>
      <c r="J366" s="630">
        <f>J362/J363</f>
        <v>6.0422960725075594</v>
      </c>
      <c r="K366" s="630">
        <f t="shared" ref="K366:O366" si="161">K362/K363</f>
        <v>2.383437441415015</v>
      </c>
      <c r="L366" s="630">
        <f t="shared" si="161"/>
        <v>3.3483743047850094</v>
      </c>
      <c r="M366" s="630">
        <f t="shared" si="161"/>
        <v>1.4600219901188956</v>
      </c>
      <c r="N366" s="630">
        <f t="shared" si="161"/>
        <v>1.303612963764023</v>
      </c>
      <c r="O366" s="630">
        <f t="shared" si="161"/>
        <v>1.4282477384228094</v>
      </c>
    </row>
    <row r="368" spans="1:16">
      <c r="B368" s="601" t="s">
        <v>331</v>
      </c>
    </row>
  </sheetData>
  <sheetProtection formatCells="0" formatColumns="0" formatRows="0" insertColumns="0" insertRows="0"/>
  <printOptions horizontalCentered="1"/>
  <pageMargins left="0.23622047244094488" right="0.23622047244094488" top="0.23622047244094488" bottom="0.51181102362204722" header="0.23622047244094488" footer="0.23622047244094488"/>
  <pageSetup scale="95" orientation="landscape" blackAndWhite="1" r:id="rId1"/>
  <headerFooter alignWithMargins="0"/>
  <ignoredErrors>
    <ignoredError sqref="H165:O165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B12F-988C-4BF9-B9D2-167C6C4A159A}">
  <dimension ref="A1:II342"/>
  <sheetViews>
    <sheetView showGridLines="0" topLeftCell="A158" zoomScaleSheetLayoutView="90" workbookViewId="0">
      <selection activeCell="Q176" sqref="Q176"/>
    </sheetView>
  </sheetViews>
  <sheetFormatPr baseColWidth="10" defaultColWidth="9.44140625" defaultRowHeight="13.2"/>
  <cols>
    <col min="1" max="1" width="3.5546875" customWidth="1"/>
    <col min="2" max="2" width="1.88671875" customWidth="1"/>
    <col min="3" max="3" width="2.44140625" customWidth="1"/>
    <col min="4" max="4" width="11.44140625" customWidth="1"/>
    <col min="5" max="5" width="12.5546875" customWidth="1"/>
    <col min="6" max="6" width="10.44140625" style="6" customWidth="1"/>
    <col min="7" max="7" width="1.88671875" customWidth="1"/>
    <col min="8" max="15" width="10.6640625" customWidth="1"/>
  </cols>
  <sheetData>
    <row r="1" spans="1:15" ht="12.75" customHeight="1">
      <c r="A1" s="7"/>
      <c r="B1" s="8"/>
      <c r="C1" s="9"/>
      <c r="D1" s="9"/>
      <c r="E1" s="9"/>
      <c r="F1" s="31"/>
      <c r="G1" s="9"/>
      <c r="H1" s="9"/>
      <c r="I1" s="9"/>
      <c r="J1" s="9"/>
      <c r="K1" s="9"/>
      <c r="L1" s="9"/>
      <c r="M1" s="9"/>
      <c r="N1" s="9"/>
      <c r="O1" s="97" t="str">
        <f>"Currently Running : "&amp;CHOOSE(Scenarios!$D$6,Scenarios!C14,Scenarios!C15,Scenarios!C16)&amp;" Scenario"</f>
        <v>Currently Running : Base Case Scenario</v>
      </c>
    </row>
    <row r="2" spans="1:15" ht="22.8">
      <c r="A2" s="10"/>
      <c r="B2" s="11" t="str">
        <f>Scenarios!B1</f>
        <v>Blu Containers Company</v>
      </c>
      <c r="C2" s="9"/>
      <c r="D2" s="9"/>
      <c r="E2" s="9"/>
      <c r="F2" s="31"/>
      <c r="G2" s="9"/>
      <c r="H2" s="9"/>
      <c r="I2" s="9"/>
      <c r="J2" s="9"/>
      <c r="K2" s="9"/>
      <c r="L2" s="9"/>
      <c r="M2" s="9"/>
      <c r="N2" s="9"/>
      <c r="O2" s="9"/>
    </row>
    <row r="3" spans="1:15" ht="17.399999999999999">
      <c r="A3" s="12"/>
      <c r="B3" s="13" t="s">
        <v>92</v>
      </c>
      <c r="C3" s="14"/>
      <c r="D3" s="14"/>
      <c r="E3" s="14"/>
      <c r="F3" s="32"/>
      <c r="G3" s="14"/>
      <c r="H3" s="14"/>
      <c r="I3" s="14"/>
      <c r="J3" s="14"/>
      <c r="K3" s="14"/>
      <c r="L3" s="14"/>
      <c r="M3" s="14"/>
      <c r="N3" s="14"/>
      <c r="O3" s="14"/>
    </row>
    <row r="4" spans="1:15" ht="3" customHeight="1" thickBot="1">
      <c r="A4" s="12"/>
      <c r="B4" s="15"/>
      <c r="C4" s="16"/>
      <c r="D4" s="16"/>
      <c r="E4" s="16"/>
      <c r="F4" s="33"/>
      <c r="G4" s="16"/>
      <c r="H4" s="16"/>
      <c r="I4" s="16"/>
      <c r="J4" s="16"/>
      <c r="K4" s="16"/>
      <c r="L4" s="16"/>
      <c r="M4" s="16"/>
      <c r="N4" s="16"/>
      <c r="O4" s="16"/>
    </row>
    <row r="5" spans="1:15" ht="12.75" customHeight="1">
      <c r="A5" s="13"/>
      <c r="B5" s="14"/>
      <c r="C5" s="14"/>
      <c r="D5" s="14"/>
      <c r="E5" s="14"/>
      <c r="F5" s="32"/>
      <c r="G5" s="14"/>
      <c r="H5" s="14"/>
      <c r="I5" s="14"/>
      <c r="J5" s="14"/>
      <c r="K5" s="14"/>
      <c r="L5" s="14"/>
      <c r="M5" s="14"/>
      <c r="N5" s="14"/>
      <c r="O5" s="14"/>
    </row>
    <row r="6" spans="1:15">
      <c r="G6" s="34"/>
      <c r="H6" s="567" t="s">
        <v>210</v>
      </c>
      <c r="I6" s="9"/>
      <c r="J6" s="9"/>
      <c r="K6" s="69" t="s">
        <v>7</v>
      </c>
      <c r="L6" s="70"/>
      <c r="M6" s="70"/>
      <c r="N6" s="70"/>
      <c r="O6" s="70"/>
    </row>
    <row r="7" spans="1:15">
      <c r="F7" s="565" t="s">
        <v>209</v>
      </c>
      <c r="G7" s="35"/>
      <c r="H7" s="566">
        <f>I7-1</f>
        <v>2020</v>
      </c>
      <c r="I7" s="566">
        <f>J7-1</f>
        <v>2021</v>
      </c>
      <c r="J7" s="566">
        <f>K7-1</f>
        <v>2022</v>
      </c>
      <c r="K7" s="21">
        <f>Scenarios!G6</f>
        <v>2023</v>
      </c>
      <c r="L7" s="21">
        <f>Scenarios!H6</f>
        <v>2024</v>
      </c>
      <c r="M7" s="21">
        <f>Scenarios!I6</f>
        <v>2025</v>
      </c>
      <c r="N7" s="21">
        <f>Scenarios!J6</f>
        <v>2026</v>
      </c>
      <c r="O7" s="21">
        <f>Scenarios!K6</f>
        <v>2027</v>
      </c>
    </row>
    <row r="8" spans="1:15" ht="12.75" customHeight="1">
      <c r="F8" s="557"/>
      <c r="H8" s="37"/>
      <c r="I8" s="37"/>
      <c r="J8" s="37"/>
    </row>
    <row r="9" spans="1:15">
      <c r="B9" s="554" t="s">
        <v>93</v>
      </c>
      <c r="F9" s="558"/>
      <c r="H9" s="37"/>
      <c r="I9" s="37"/>
      <c r="J9" s="37"/>
      <c r="K9" s="71"/>
    </row>
    <row r="10" spans="1:15">
      <c r="C10" s="549" t="s">
        <v>94</v>
      </c>
      <c r="F10" s="559" t="s">
        <v>95</v>
      </c>
      <c r="H10" s="39"/>
      <c r="I10" s="39"/>
      <c r="J10" s="45">
        <v>694.4</v>
      </c>
      <c r="K10" s="72">
        <f>Scenarios!G23</f>
        <v>800</v>
      </c>
      <c r="L10" s="72">
        <f>Scenarios!H23</f>
        <v>725</v>
      </c>
      <c r="M10" s="72">
        <f>Scenarios!I23</f>
        <v>825</v>
      </c>
      <c r="N10" s="72">
        <f>Scenarios!J23</f>
        <v>800</v>
      </c>
      <c r="O10" s="72">
        <f>Scenarios!K23</f>
        <v>750</v>
      </c>
    </row>
    <row r="11" spans="1:15">
      <c r="C11" t="s">
        <v>84</v>
      </c>
      <c r="F11" s="558" t="s">
        <v>14</v>
      </c>
      <c r="H11" s="40"/>
      <c r="I11" s="73"/>
      <c r="J11" s="73"/>
      <c r="K11" s="74">
        <f>Scenarios!G12</f>
        <v>0.02</v>
      </c>
      <c r="L11" s="74">
        <f>Scenarios!H12</f>
        <v>0.02</v>
      </c>
      <c r="M11" s="74">
        <f>Scenarios!I12</f>
        <v>0.02</v>
      </c>
      <c r="N11" s="74">
        <f>Scenarios!J12</f>
        <v>2.5000000000000001E-2</v>
      </c>
      <c r="O11" s="74">
        <f>Scenarios!K12</f>
        <v>2.5000000000000001E-2</v>
      </c>
    </row>
    <row r="12" spans="1:15">
      <c r="C12" s="18" t="s">
        <v>96</v>
      </c>
      <c r="F12" s="559" t="s">
        <v>95</v>
      </c>
      <c r="H12" s="41"/>
      <c r="I12" s="41"/>
      <c r="J12" s="75">
        <v>100</v>
      </c>
      <c r="K12" s="76">
        <f>J12*(1+K11)</f>
        <v>102</v>
      </c>
      <c r="L12" s="76">
        <f t="shared" ref="L12:O12" si="0">K12*(1+L11)</f>
        <v>104.04</v>
      </c>
      <c r="M12" s="76">
        <f t="shared" si="0"/>
        <v>106.1208</v>
      </c>
      <c r="N12" s="76">
        <f t="shared" si="0"/>
        <v>108.77381999999999</v>
      </c>
      <c r="O12" s="76">
        <f t="shared" si="0"/>
        <v>111.49316549999998</v>
      </c>
    </row>
    <row r="13" spans="1:15">
      <c r="C13" s="17" t="s">
        <v>97</v>
      </c>
      <c r="F13" s="560" t="s">
        <v>95</v>
      </c>
      <c r="H13" s="42"/>
      <c r="I13" s="42"/>
      <c r="J13" s="77">
        <f t="shared" ref="J13" si="1">J10-J12</f>
        <v>594.4</v>
      </c>
      <c r="K13" s="78">
        <f>K10-K12</f>
        <v>698</v>
      </c>
      <c r="L13" s="78">
        <f t="shared" ref="L13:O13" si="2">L10-L12</f>
        <v>620.96</v>
      </c>
      <c r="M13" s="78">
        <f t="shared" si="2"/>
        <v>718.87919999999997</v>
      </c>
      <c r="N13" s="78">
        <f t="shared" si="2"/>
        <v>691.22618</v>
      </c>
      <c r="O13" s="78">
        <f t="shared" si="2"/>
        <v>638.50683449999997</v>
      </c>
    </row>
    <row r="14" spans="1:15">
      <c r="B14" s="19"/>
      <c r="C14" s="20"/>
      <c r="D14" s="19"/>
      <c r="E14" s="19"/>
      <c r="F14" s="561"/>
      <c r="G14" s="19"/>
      <c r="H14" s="43"/>
      <c r="I14" s="43"/>
      <c r="J14" s="43"/>
      <c r="K14" s="79"/>
      <c r="L14" s="79"/>
      <c r="M14" s="79"/>
      <c r="N14" s="79"/>
      <c r="O14" s="79"/>
    </row>
    <row r="15" spans="1:15">
      <c r="C15" s="17"/>
      <c r="F15" s="562"/>
      <c r="H15" s="44"/>
      <c r="I15" s="44"/>
      <c r="J15" s="44"/>
      <c r="K15" s="48"/>
      <c r="L15" s="48"/>
      <c r="M15" s="48"/>
      <c r="N15" s="48"/>
      <c r="O15" s="48"/>
    </row>
    <row r="16" spans="1:15">
      <c r="B16" s="17" t="s">
        <v>98</v>
      </c>
      <c r="F16" s="558"/>
    </row>
    <row r="17" spans="1:15">
      <c r="B17" s="17"/>
      <c r="C17" t="s">
        <v>99</v>
      </c>
      <c r="F17" s="558" t="s">
        <v>100</v>
      </c>
      <c r="H17" s="45"/>
      <c r="I17" s="45"/>
      <c r="J17" s="45"/>
      <c r="K17" s="72">
        <f>Assumptions!N17</f>
        <v>420</v>
      </c>
      <c r="L17" s="80">
        <f>K17</f>
        <v>420</v>
      </c>
      <c r="M17" s="80">
        <f>L17</f>
        <v>420</v>
      </c>
      <c r="N17" s="80">
        <f>M17</f>
        <v>420</v>
      </c>
      <c r="O17" s="80">
        <f>N17</f>
        <v>420</v>
      </c>
    </row>
    <row r="18" spans="1:15">
      <c r="B18" s="17"/>
      <c r="F18" s="558"/>
    </row>
    <row r="19" spans="1:15">
      <c r="C19" t="s">
        <v>91</v>
      </c>
      <c r="F19" s="558" t="s">
        <v>14</v>
      </c>
      <c r="H19" s="40"/>
      <c r="I19" s="73"/>
      <c r="J19" s="81"/>
      <c r="K19" s="82">
        <f>Scenarios!G30</f>
        <v>0.05</v>
      </c>
      <c r="L19" s="82">
        <f>Scenarios!H30</f>
        <v>0.04</v>
      </c>
      <c r="M19" s="82">
        <f>Scenarios!I30</f>
        <v>0.04</v>
      </c>
      <c r="N19" s="82">
        <f>Scenarios!J30</f>
        <v>0.04</v>
      </c>
      <c r="O19" s="82">
        <f>Scenarios!K30</f>
        <v>0.04</v>
      </c>
    </row>
    <row r="20" spans="1:15">
      <c r="C20" s="21" t="s">
        <v>101</v>
      </c>
      <c r="F20" s="563" t="s">
        <v>100</v>
      </c>
      <c r="H20" s="47"/>
      <c r="I20" s="47"/>
      <c r="J20" s="77">
        <f>J26*1000/J10</f>
        <v>344.4700460829493</v>
      </c>
      <c r="K20" s="78">
        <f>MIN(J20*(K19+1),K17)</f>
        <v>361.69354838709677</v>
      </c>
      <c r="L20" s="78">
        <f t="shared" ref="L20:O20" si="3">MIN(K20*(L19+1),L17)</f>
        <v>376.16129032258067</v>
      </c>
      <c r="M20" s="78">
        <f t="shared" si="3"/>
        <v>391.20774193548391</v>
      </c>
      <c r="N20" s="78">
        <f t="shared" si="3"/>
        <v>406.85605161290329</v>
      </c>
      <c r="O20" s="78">
        <f t="shared" si="3"/>
        <v>420</v>
      </c>
    </row>
    <row r="21" spans="1:15" ht="6" customHeight="1">
      <c r="C21" s="21"/>
      <c r="F21" s="563"/>
      <c r="H21" s="48"/>
      <c r="I21" s="48"/>
      <c r="J21" s="48"/>
      <c r="K21" s="48"/>
      <c r="L21" s="48"/>
      <c r="M21" s="48"/>
      <c r="N21" s="48"/>
      <c r="O21" s="48"/>
    </row>
    <row r="22" spans="1:15">
      <c r="C22" t="s">
        <v>102</v>
      </c>
      <c r="F22" s="563"/>
      <c r="H22" s="49"/>
      <c r="I22" s="49"/>
      <c r="J22" s="49"/>
      <c r="K22" s="83">
        <f>K20/K17</f>
        <v>0.86117511520737322</v>
      </c>
      <c r="L22" s="83">
        <f t="shared" ref="L22:O22" si="4">L20/L17</f>
        <v>0.8956221198156683</v>
      </c>
      <c r="M22" s="83">
        <f t="shared" si="4"/>
        <v>0.93144700460829499</v>
      </c>
      <c r="N22" s="83">
        <f t="shared" si="4"/>
        <v>0.96870488479262684</v>
      </c>
      <c r="O22" s="83">
        <f t="shared" si="4"/>
        <v>1</v>
      </c>
    </row>
    <row r="23" spans="1:15" ht="12.75" customHeight="1">
      <c r="B23" s="19"/>
      <c r="C23" s="19"/>
      <c r="D23" s="19"/>
      <c r="E23" s="19"/>
      <c r="F23" s="564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2.75" customHeight="1">
      <c r="F24" s="558"/>
    </row>
    <row r="25" spans="1:15">
      <c r="B25" s="21" t="s">
        <v>103</v>
      </c>
      <c r="F25" s="558"/>
    </row>
    <row r="26" spans="1:15">
      <c r="A26" s="22"/>
      <c r="C26" s="549" t="s">
        <v>104</v>
      </c>
      <c r="F26" s="558" t="s">
        <v>105</v>
      </c>
      <c r="H26" s="51"/>
      <c r="I26" s="51"/>
      <c r="J26" s="84">
        <f>J83</f>
        <v>239.2</v>
      </c>
      <c r="K26" s="85">
        <f>(K10*K20)/1000</f>
        <v>289.35483870967738</v>
      </c>
      <c r="L26" s="85">
        <f t="shared" ref="L26:O26" si="5">(L10*L20)/1000</f>
        <v>272.716935483871</v>
      </c>
      <c r="M26" s="85">
        <f t="shared" si="5"/>
        <v>322.74638709677424</v>
      </c>
      <c r="N26" s="85">
        <f t="shared" si="5"/>
        <v>325.48484129032266</v>
      </c>
      <c r="O26" s="85">
        <f t="shared" si="5"/>
        <v>315</v>
      </c>
    </row>
    <row r="27" spans="1:15">
      <c r="C27" s="18" t="s">
        <v>96</v>
      </c>
      <c r="F27" s="558" t="s">
        <v>105</v>
      </c>
      <c r="H27" s="51"/>
      <c r="I27" s="51"/>
      <c r="J27" s="84">
        <f>J84</f>
        <v>34.4</v>
      </c>
      <c r="K27" s="85">
        <f>(K12*K20)/1000</f>
        <v>36.892741935483869</v>
      </c>
      <c r="L27" s="85">
        <f t="shared" ref="L27:O27" si="6">(L12*L20)/1000</f>
        <v>39.135820645161296</v>
      </c>
      <c r="M27" s="85">
        <f t="shared" si="6"/>
        <v>41.515278540387101</v>
      </c>
      <c r="N27" s="85">
        <f t="shared" si="6"/>
        <v>44.255286924052648</v>
      </c>
      <c r="O27" s="85">
        <f t="shared" si="6"/>
        <v>46.827129509999992</v>
      </c>
    </row>
    <row r="28" spans="1:15">
      <c r="C28" s="21" t="s">
        <v>11</v>
      </c>
      <c r="F28" s="563" t="s">
        <v>105</v>
      </c>
      <c r="H28" s="52"/>
      <c r="I28" s="52"/>
      <c r="J28" s="86">
        <f t="shared" ref="J28:O28" si="7">J26-J27</f>
        <v>204.79999999999998</v>
      </c>
      <c r="K28" s="87">
        <f t="shared" si="7"/>
        <v>252.46209677419353</v>
      </c>
      <c r="L28" s="87">
        <f t="shared" si="7"/>
        <v>233.58111483870971</v>
      </c>
      <c r="M28" s="87">
        <f t="shared" si="7"/>
        <v>281.23110855638714</v>
      </c>
      <c r="N28" s="87">
        <f t="shared" si="7"/>
        <v>281.22955436627001</v>
      </c>
      <c r="O28" s="87">
        <f t="shared" si="7"/>
        <v>268.17287049000004</v>
      </c>
    </row>
    <row r="29" spans="1:15" ht="12.75" customHeight="1">
      <c r="B29" s="23"/>
      <c r="C29" s="23"/>
      <c r="D29" s="23"/>
      <c r="E29" s="23"/>
      <c r="F29" s="53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12.75" customHeight="1"/>
    <row r="31" spans="1:15" ht="12.75" customHeight="1">
      <c r="A31" s="10"/>
      <c r="B31" s="11"/>
      <c r="C31" s="9"/>
      <c r="D31" s="9"/>
      <c r="E31" s="9"/>
      <c r="F31" s="31"/>
      <c r="G31" s="9"/>
      <c r="H31" s="9"/>
      <c r="I31" s="9"/>
      <c r="J31" s="9"/>
      <c r="K31" s="9"/>
      <c r="L31" s="9"/>
      <c r="M31" s="9"/>
      <c r="N31" s="9"/>
      <c r="O31" s="98" t="str">
        <f>$O$1</f>
        <v>Currently Running : Base Case Scenario</v>
      </c>
    </row>
    <row r="32" spans="1:15" ht="22.8">
      <c r="A32" s="10"/>
      <c r="B32" s="11" t="str">
        <f>B$2</f>
        <v>Blu Containers Company</v>
      </c>
      <c r="C32" s="9"/>
      <c r="D32" s="9"/>
      <c r="E32" s="9"/>
      <c r="F32" s="31"/>
      <c r="G32" s="9"/>
      <c r="H32" s="9"/>
      <c r="I32" s="9"/>
      <c r="J32" s="9"/>
      <c r="K32" s="9"/>
      <c r="L32" s="9"/>
      <c r="M32" s="9"/>
      <c r="N32" s="9"/>
      <c r="O32" s="9"/>
    </row>
    <row r="33" spans="1:15" ht="17.399999999999999">
      <c r="A33" s="12"/>
      <c r="B33" s="13" t="s">
        <v>106</v>
      </c>
      <c r="C33" s="14"/>
      <c r="D33" s="14"/>
      <c r="E33" s="14"/>
      <c r="F33" s="32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3" customHeight="1" thickBot="1">
      <c r="A34" s="12"/>
      <c r="B34" s="15"/>
      <c r="C34" s="16"/>
      <c r="D34" s="16"/>
      <c r="E34" s="16"/>
      <c r="F34" s="33"/>
      <c r="G34" s="16"/>
      <c r="H34" s="16"/>
      <c r="I34" s="16"/>
      <c r="J34" s="16"/>
      <c r="K34" s="16"/>
      <c r="L34" s="16"/>
      <c r="M34" s="16"/>
      <c r="N34" s="16"/>
      <c r="O34" s="16"/>
    </row>
    <row r="35" spans="1:15" ht="12.75" customHeight="1">
      <c r="A35" s="13"/>
      <c r="B35" s="14"/>
      <c r="C35" s="14"/>
      <c r="D35" s="14"/>
      <c r="E35" s="14"/>
      <c r="F35" s="32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G36" s="34"/>
      <c r="K36" s="69" t="s">
        <v>7</v>
      </c>
      <c r="L36" s="70"/>
      <c r="M36" s="70"/>
      <c r="N36" s="70"/>
      <c r="O36" s="70"/>
    </row>
    <row r="37" spans="1:15">
      <c r="G37" s="35"/>
      <c r="H37" s="36">
        <f t="shared" ref="H37:O37" si="8">H$7</f>
        <v>2020</v>
      </c>
      <c r="I37" s="36">
        <f t="shared" si="8"/>
        <v>2021</v>
      </c>
      <c r="J37" s="36">
        <f t="shared" si="8"/>
        <v>2022</v>
      </c>
      <c r="K37" s="88">
        <f t="shared" si="8"/>
        <v>2023</v>
      </c>
      <c r="L37" s="88">
        <f t="shared" si="8"/>
        <v>2024</v>
      </c>
      <c r="M37" s="88">
        <f t="shared" si="8"/>
        <v>2025</v>
      </c>
      <c r="N37" s="88">
        <f t="shared" si="8"/>
        <v>2026</v>
      </c>
      <c r="O37" s="88">
        <f t="shared" si="8"/>
        <v>2027</v>
      </c>
    </row>
    <row r="38" spans="1:15" ht="12.9" customHeight="1">
      <c r="G38" s="35"/>
      <c r="H38" s="35"/>
      <c r="I38" s="35"/>
      <c r="J38" s="35"/>
      <c r="K38" s="35"/>
      <c r="L38" s="35"/>
      <c r="M38" s="35"/>
      <c r="N38" s="35"/>
      <c r="O38" s="35"/>
    </row>
    <row r="39" spans="1:15" ht="12.9" customHeight="1">
      <c r="B39" s="24" t="s">
        <v>101</v>
      </c>
      <c r="C39" s="25"/>
      <c r="D39" s="25"/>
      <c r="E39" s="25"/>
      <c r="F39" s="54" t="s">
        <v>100</v>
      </c>
      <c r="G39" s="55"/>
      <c r="H39" s="56"/>
      <c r="I39" s="56"/>
      <c r="J39" s="56">
        <f t="shared" ref="J39:O39" si="9">J20</f>
        <v>344.4700460829493</v>
      </c>
      <c r="K39" s="56">
        <f t="shared" si="9"/>
        <v>361.69354838709677</v>
      </c>
      <c r="L39" s="56">
        <f t="shared" si="9"/>
        <v>376.16129032258067</v>
      </c>
      <c r="M39" s="56">
        <f t="shared" si="9"/>
        <v>391.20774193548391</v>
      </c>
      <c r="N39" s="56">
        <f t="shared" si="9"/>
        <v>406.85605161290329</v>
      </c>
      <c r="O39" s="99">
        <f t="shared" si="9"/>
        <v>420</v>
      </c>
    </row>
    <row r="40" spans="1:15">
      <c r="B40" s="26" t="s">
        <v>84</v>
      </c>
      <c r="C40" s="19"/>
      <c r="D40" s="19"/>
      <c r="E40" s="19"/>
      <c r="F40" s="50" t="s">
        <v>14</v>
      </c>
      <c r="G40" s="57"/>
      <c r="H40" s="58"/>
      <c r="I40" s="58"/>
      <c r="J40" s="58"/>
      <c r="K40" s="58"/>
      <c r="L40" s="89">
        <f>L11</f>
        <v>0.02</v>
      </c>
      <c r="M40" s="89">
        <f>M11</f>
        <v>0.02</v>
      </c>
      <c r="N40" s="89">
        <f>N11</f>
        <v>2.5000000000000001E-2</v>
      </c>
      <c r="O40" s="100">
        <f>O11</f>
        <v>2.5000000000000001E-2</v>
      </c>
    </row>
    <row r="41" spans="1:15" ht="12.9" customHeight="1">
      <c r="B41" s="27"/>
      <c r="G41" s="35"/>
      <c r="H41" s="35"/>
      <c r="I41" s="35"/>
      <c r="J41" s="35"/>
      <c r="K41" s="35"/>
      <c r="L41" s="35"/>
      <c r="M41" s="35"/>
      <c r="N41" s="35"/>
      <c r="O41" s="35"/>
    </row>
    <row r="42" spans="1:15" ht="12.75" customHeight="1">
      <c r="A42" s="569">
        <v>1</v>
      </c>
      <c r="B42" s="28" t="s">
        <v>107</v>
      </c>
      <c r="G42" s="35"/>
      <c r="H42" s="35"/>
      <c r="I42" s="35"/>
      <c r="J42" s="35"/>
      <c r="K42" s="35"/>
      <c r="M42" s="35"/>
      <c r="N42" s="35"/>
      <c r="O42" s="35"/>
    </row>
    <row r="43" spans="1:15">
      <c r="A43" s="22"/>
      <c r="C43" s="21" t="s">
        <v>108</v>
      </c>
    </row>
    <row r="44" spans="1:15">
      <c r="D44" s="18" t="str">
        <f>Assumptions!C27</f>
        <v>Raw Materials</v>
      </c>
      <c r="F44" s="6" t="s">
        <v>95</v>
      </c>
      <c r="H44" s="59"/>
      <c r="I44" s="59"/>
      <c r="J44" s="59"/>
      <c r="K44" s="90">
        <f>Assumptions!E27</f>
        <v>226</v>
      </c>
      <c r="L44" s="91">
        <f>K44*(1+L40)</f>
        <v>230.52</v>
      </c>
      <c r="M44" s="91">
        <f t="shared" ref="M44:O44" si="10">L44*(1+M40)</f>
        <v>235.13040000000001</v>
      </c>
      <c r="N44" s="91">
        <f t="shared" si="10"/>
        <v>241.00865999999999</v>
      </c>
      <c r="O44" s="91">
        <f t="shared" si="10"/>
        <v>247.03387649999996</v>
      </c>
    </row>
    <row r="45" spans="1:15">
      <c r="D45" s="18" t="str">
        <f>Assumptions!C28</f>
        <v>Utilities</v>
      </c>
      <c r="F45" s="6" t="s">
        <v>95</v>
      </c>
      <c r="H45" s="59"/>
      <c r="I45" s="59"/>
      <c r="J45" s="59"/>
      <c r="K45" s="92">
        <f>Assumptions!E28</f>
        <v>66.2</v>
      </c>
      <c r="L45" s="93">
        <f>K45*(1+L40)</f>
        <v>67.524000000000001</v>
      </c>
      <c r="M45" s="93">
        <f t="shared" ref="M45:O45" si="11">L45*(1+M40)</f>
        <v>68.874480000000005</v>
      </c>
      <c r="N45" s="93">
        <f t="shared" si="11"/>
        <v>70.596341999999993</v>
      </c>
      <c r="O45" s="93">
        <f t="shared" si="11"/>
        <v>72.36125054999998</v>
      </c>
    </row>
    <row r="46" spans="1:15">
      <c r="D46" s="21" t="s">
        <v>109</v>
      </c>
      <c r="F46" s="60" t="s">
        <v>95</v>
      </c>
      <c r="H46" s="61"/>
      <c r="I46" s="61"/>
      <c r="J46" s="61"/>
      <c r="K46" s="94">
        <f>K44+K45</f>
        <v>292.2</v>
      </c>
      <c r="L46" s="94">
        <f t="shared" ref="L46:O46" si="12">L44+L45</f>
        <v>298.04399999999998</v>
      </c>
      <c r="M46" s="94">
        <f t="shared" si="12"/>
        <v>304.00488000000001</v>
      </c>
      <c r="N46" s="94">
        <f t="shared" si="12"/>
        <v>311.60500200000001</v>
      </c>
      <c r="O46" s="94">
        <f t="shared" si="12"/>
        <v>319.39512704999993</v>
      </c>
    </row>
    <row r="47" spans="1:15" ht="6" customHeight="1">
      <c r="D47" s="18"/>
      <c r="H47" s="62"/>
      <c r="I47" s="62"/>
      <c r="J47" s="62"/>
      <c r="K47" s="62"/>
      <c r="L47" s="62"/>
      <c r="M47" s="62"/>
      <c r="N47" s="62"/>
      <c r="O47" s="62"/>
    </row>
    <row r="48" spans="1:15" ht="12.75" customHeight="1">
      <c r="A48" s="569">
        <v>4</v>
      </c>
      <c r="B48" s="569"/>
      <c r="C48" s="17" t="s">
        <v>110</v>
      </c>
      <c r="D48" s="18"/>
      <c r="H48" s="63"/>
      <c r="I48" s="63"/>
      <c r="J48" s="63"/>
      <c r="K48" s="63"/>
      <c r="L48" s="95"/>
      <c r="M48" s="95"/>
      <c r="N48" s="95"/>
      <c r="O48" s="95"/>
    </row>
    <row r="49" spans="1:16" ht="12.75" customHeight="1">
      <c r="D49" s="18" t="str">
        <f>Assumptions!C29</f>
        <v>Rent</v>
      </c>
      <c r="F49" s="6" t="s">
        <v>95</v>
      </c>
      <c r="H49" s="64"/>
      <c r="I49" s="64"/>
      <c r="J49" s="64"/>
      <c r="K49" s="91">
        <f t="shared" ref="K49:O51" si="13">K64*1000/K$39</f>
        <v>64.972129319955414</v>
      </c>
      <c r="L49" s="91">
        <f t="shared" si="13"/>
        <v>63.722665294571648</v>
      </c>
      <c r="M49" s="91">
        <f t="shared" si="13"/>
        <v>62.497229423522192</v>
      </c>
      <c r="N49" s="91">
        <f t="shared" si="13"/>
        <v>61.595827076067536</v>
      </c>
      <c r="O49" s="91">
        <f t="shared" si="13"/>
        <v>61.159883035714273</v>
      </c>
    </row>
    <row r="50" spans="1:16">
      <c r="D50" s="18" t="str">
        <f>Assumptions!C30</f>
        <v>Operating Labour</v>
      </c>
      <c r="F50" s="6" t="s">
        <v>95</v>
      </c>
      <c r="H50" s="64"/>
      <c r="I50" s="64"/>
      <c r="J50" s="64"/>
      <c r="K50" s="91">
        <f t="shared" si="13"/>
        <v>120.2675585284281</v>
      </c>
      <c r="L50" s="91">
        <f t="shared" si="13"/>
        <v>117.95472086441985</v>
      </c>
      <c r="M50" s="91">
        <f t="shared" si="13"/>
        <v>115.68636084779638</v>
      </c>
      <c r="N50" s="91">
        <f t="shared" si="13"/>
        <v>114.01780756633777</v>
      </c>
      <c r="O50" s="91">
        <f t="shared" si="13"/>
        <v>113.21084732142855</v>
      </c>
    </row>
    <row r="51" spans="1:16" ht="12.75" customHeight="1">
      <c r="D51" t="s">
        <v>52</v>
      </c>
      <c r="F51" s="6" t="s">
        <v>95</v>
      </c>
      <c r="H51" s="64"/>
      <c r="I51" s="64"/>
      <c r="J51" s="64"/>
      <c r="K51" s="93">
        <f t="shared" si="13"/>
        <v>5.5295429208472688</v>
      </c>
      <c r="L51" s="93">
        <f t="shared" si="13"/>
        <v>5.4232055569848212</v>
      </c>
      <c r="M51" s="93">
        <f t="shared" si="13"/>
        <v>5.3189131424274203</v>
      </c>
      <c r="N51" s="93">
        <f t="shared" si="13"/>
        <v>5.2421980490270235</v>
      </c>
      <c r="O51" s="93">
        <f t="shared" si="13"/>
        <v>5.2050964285714274</v>
      </c>
    </row>
    <row r="52" spans="1:16">
      <c r="D52" s="554" t="s">
        <v>111</v>
      </c>
      <c r="F52" s="60" t="s">
        <v>95</v>
      </c>
      <c r="H52" s="584" t="s">
        <v>246</v>
      </c>
      <c r="I52" s="583"/>
      <c r="J52" s="61"/>
      <c r="K52" s="94">
        <f>K49+K50+K51</f>
        <v>190.76923076923077</v>
      </c>
      <c r="L52" s="94">
        <f t="shared" ref="L52:O52" si="14">L49+L50+L51</f>
        <v>187.10059171597632</v>
      </c>
      <c r="M52" s="94">
        <f t="shared" si="14"/>
        <v>183.50250341374598</v>
      </c>
      <c r="N52" s="94">
        <f t="shared" si="14"/>
        <v>180.85583269143234</v>
      </c>
      <c r="O52" s="94">
        <f t="shared" si="14"/>
        <v>179.57582678571424</v>
      </c>
      <c r="P52" s="101"/>
    </row>
    <row r="53" spans="1:16" ht="6" customHeight="1">
      <c r="C53" s="21"/>
      <c r="F53" s="60"/>
      <c r="H53" s="65"/>
      <c r="I53" s="65"/>
      <c r="J53" s="65"/>
      <c r="K53" s="65"/>
      <c r="L53" s="65"/>
      <c r="M53" s="65"/>
      <c r="N53" s="65"/>
      <c r="O53" s="65"/>
      <c r="P53" s="101"/>
    </row>
    <row r="54" spans="1:16" ht="13.8" thickBot="1">
      <c r="C54" s="554" t="s">
        <v>112</v>
      </c>
      <c r="F54" s="60" t="s">
        <v>95</v>
      </c>
      <c r="H54" s="66"/>
      <c r="I54" s="66"/>
      <c r="J54" s="66"/>
      <c r="K54" s="96">
        <f>K52+K46</f>
        <v>482.96923076923076</v>
      </c>
      <c r="L54" s="96">
        <f t="shared" ref="L54:O54" si="15">L52+L46</f>
        <v>485.14459171597628</v>
      </c>
      <c r="M54" s="96">
        <f t="shared" si="15"/>
        <v>487.50738341374597</v>
      </c>
      <c r="N54" s="96">
        <f t="shared" si="15"/>
        <v>492.46083469143235</v>
      </c>
      <c r="O54" s="96">
        <f t="shared" si="15"/>
        <v>498.97095383571417</v>
      </c>
    </row>
    <row r="55" spans="1:16" ht="12.9" customHeight="1" thickTop="1">
      <c r="B55" s="20"/>
      <c r="C55" s="29"/>
      <c r="D55" s="19"/>
      <c r="E55" s="19"/>
      <c r="F55" s="67"/>
      <c r="G55" s="68"/>
      <c r="H55" s="68"/>
      <c r="I55" s="68"/>
      <c r="J55" s="68"/>
      <c r="K55" s="68"/>
      <c r="L55" s="68"/>
      <c r="M55" s="68"/>
      <c r="N55" s="68"/>
      <c r="O55" s="68"/>
    </row>
    <row r="56" spans="1:16" ht="12.9" customHeight="1">
      <c r="B56" s="17"/>
      <c r="C56" s="21"/>
      <c r="F56" s="60"/>
      <c r="H56" s="65"/>
      <c r="I56" s="65"/>
      <c r="J56" s="65"/>
      <c r="K56" s="65"/>
      <c r="L56" s="65"/>
      <c r="M56" s="65"/>
      <c r="N56" s="65"/>
      <c r="O56" s="65"/>
    </row>
    <row r="57" spans="1:16">
      <c r="B57" s="28" t="s">
        <v>113</v>
      </c>
      <c r="C57" s="21"/>
      <c r="F57" s="60"/>
      <c r="H57" s="65"/>
      <c r="I57" s="65"/>
      <c r="J57" s="65"/>
      <c r="K57" s="65"/>
      <c r="L57" s="65"/>
      <c r="M57" s="65"/>
      <c r="N57" s="65"/>
      <c r="O57" s="65"/>
    </row>
    <row r="58" spans="1:16">
      <c r="A58" s="569">
        <v>2</v>
      </c>
      <c r="C58" s="21" t="s">
        <v>108</v>
      </c>
      <c r="F58" s="60"/>
      <c r="H58" s="65"/>
      <c r="I58" s="65"/>
      <c r="J58" s="65"/>
      <c r="K58" s="65"/>
      <c r="L58" s="65"/>
      <c r="M58" s="65"/>
      <c r="N58" s="65"/>
      <c r="O58" s="65"/>
    </row>
    <row r="59" spans="1:16">
      <c r="D59" s="18" t="str">
        <f>D44</f>
        <v>Raw Materials</v>
      </c>
      <c r="F59" s="6" t="s">
        <v>105</v>
      </c>
      <c r="H59" s="64"/>
      <c r="I59" s="64"/>
      <c r="J59" s="64"/>
      <c r="K59" s="91">
        <f>(K44*K$39)/1000</f>
        <v>81.742741935483863</v>
      </c>
      <c r="L59" s="91">
        <f t="shared" ref="L59:O60" si="16">(L44*L$39)/1000</f>
        <v>86.712700645161291</v>
      </c>
      <c r="M59" s="91">
        <f t="shared" si="16"/>
        <v>91.984832844387114</v>
      </c>
      <c r="N59" s="91">
        <f t="shared" si="16"/>
        <v>98.055831812116651</v>
      </c>
      <c r="O59" s="91">
        <f t="shared" si="16"/>
        <v>103.75422812999999</v>
      </c>
    </row>
    <row r="60" spans="1:16">
      <c r="D60" s="18" t="str">
        <f>D45</f>
        <v>Utilities</v>
      </c>
      <c r="F60" s="6" t="s">
        <v>105</v>
      </c>
      <c r="H60" s="64"/>
      <c r="I60" s="64"/>
      <c r="J60" s="64"/>
      <c r="K60" s="93">
        <f>(K45*K$39)/1000</f>
        <v>23.944112903225808</v>
      </c>
      <c r="L60" s="93">
        <f t="shared" si="16"/>
        <v>25.399914967741939</v>
      </c>
      <c r="M60" s="93">
        <f t="shared" si="16"/>
        <v>26.944229797780647</v>
      </c>
      <c r="N60" s="93">
        <f t="shared" si="16"/>
        <v>28.722548964434168</v>
      </c>
      <c r="O60" s="93">
        <f t="shared" si="16"/>
        <v>30.391725230999992</v>
      </c>
    </row>
    <row r="61" spans="1:16" ht="12.75" customHeight="1">
      <c r="D61" s="21" t="s">
        <v>109</v>
      </c>
      <c r="F61" s="60" t="s">
        <v>105</v>
      </c>
      <c r="H61" s="61"/>
      <c r="I61" s="61"/>
      <c r="J61" s="61"/>
      <c r="K61" s="94">
        <f>K59+K60</f>
        <v>105.68685483870968</v>
      </c>
      <c r="L61" s="94">
        <f t="shared" ref="L61:O61" si="17">L59+L60</f>
        <v>112.11261561290323</v>
      </c>
      <c r="M61" s="94">
        <f t="shared" si="17"/>
        <v>118.92906264216776</v>
      </c>
      <c r="N61" s="94">
        <f t="shared" si="17"/>
        <v>126.77838077655082</v>
      </c>
      <c r="O61" s="94">
        <f t="shared" si="17"/>
        <v>134.14595336099998</v>
      </c>
    </row>
    <row r="62" spans="1:16" ht="6" customHeight="1">
      <c r="D62" s="18"/>
      <c r="F62" s="60"/>
      <c r="H62" s="65"/>
      <c r="I62" s="65"/>
      <c r="J62" s="65"/>
      <c r="K62" s="65"/>
      <c r="L62" s="65"/>
      <c r="M62" s="65"/>
      <c r="N62" s="65"/>
      <c r="O62" s="65"/>
    </row>
    <row r="63" spans="1:16" ht="12.75" customHeight="1">
      <c r="A63" s="569">
        <v>3</v>
      </c>
      <c r="C63" s="17" t="s">
        <v>110</v>
      </c>
      <c r="D63" s="18"/>
      <c r="F63" s="60"/>
      <c r="H63" s="65"/>
      <c r="I63" s="65"/>
      <c r="J63" s="65"/>
      <c r="K63" s="65"/>
      <c r="M63" s="65"/>
      <c r="N63" s="65"/>
      <c r="O63" s="65"/>
    </row>
    <row r="64" spans="1:16" ht="12.75" customHeight="1">
      <c r="A64" s="30"/>
      <c r="D64" s="18" t="str">
        <f>D49</f>
        <v>Rent</v>
      </c>
      <c r="F64" s="6" t="s">
        <v>105</v>
      </c>
      <c r="H64" s="59"/>
      <c r="I64" s="59"/>
      <c r="J64" s="59"/>
      <c r="K64" s="90">
        <f>Assumptions!E29</f>
        <v>23.5</v>
      </c>
      <c r="L64" s="91">
        <f>K64*(1+L$40)</f>
        <v>23.97</v>
      </c>
      <c r="M64" s="91">
        <f t="shared" ref="M64:O66" si="18">L64*(1+M$40)</f>
        <v>24.449400000000001</v>
      </c>
      <c r="N64" s="91">
        <f t="shared" si="18"/>
        <v>25.060634999999998</v>
      </c>
      <c r="O64" s="91">
        <f t="shared" si="18"/>
        <v>25.687150874999997</v>
      </c>
    </row>
    <row r="65" spans="1:15" ht="12.75" customHeight="1">
      <c r="D65" s="18" t="str">
        <f>D50</f>
        <v>Operating Labour</v>
      </c>
      <c r="F65" s="6" t="s">
        <v>105</v>
      </c>
      <c r="H65" s="59"/>
      <c r="I65" s="59"/>
      <c r="J65" s="59"/>
      <c r="K65" s="90">
        <f>Assumptions!E30</f>
        <v>43.5</v>
      </c>
      <c r="L65" s="91">
        <f>K65*(1+L$40)</f>
        <v>44.37</v>
      </c>
      <c r="M65" s="91">
        <f t="shared" si="18"/>
        <v>45.257399999999997</v>
      </c>
      <c r="N65" s="91">
        <f t="shared" si="18"/>
        <v>46.388834999999993</v>
      </c>
      <c r="O65" s="91">
        <f t="shared" si="18"/>
        <v>47.548555874999991</v>
      </c>
    </row>
    <row r="66" spans="1:15" ht="12.9" customHeight="1">
      <c r="D66" t="str">
        <f>D51</f>
        <v>Other</v>
      </c>
      <c r="F66" s="6" t="s">
        <v>105</v>
      </c>
      <c r="H66" s="59"/>
      <c r="I66" s="59"/>
      <c r="J66" s="59"/>
      <c r="K66" s="92">
        <f>Assumptions!E31</f>
        <v>2</v>
      </c>
      <c r="L66" s="93">
        <f>K66*(1+L$40)</f>
        <v>2.04</v>
      </c>
      <c r="M66" s="93">
        <f t="shared" si="18"/>
        <v>2.0808</v>
      </c>
      <c r="N66" s="93">
        <f t="shared" si="18"/>
        <v>2.1328199999999997</v>
      </c>
      <c r="O66" s="93">
        <f t="shared" si="18"/>
        <v>2.1861404999999996</v>
      </c>
    </row>
    <row r="67" spans="1:15" ht="12.9" customHeight="1">
      <c r="D67" s="554" t="s">
        <v>111</v>
      </c>
      <c r="F67" s="60" t="s">
        <v>105</v>
      </c>
      <c r="H67" s="61"/>
      <c r="I67" s="61"/>
      <c r="J67" s="61"/>
      <c r="K67" s="94">
        <f>K64+K65+K66</f>
        <v>69</v>
      </c>
      <c r="L67" s="94">
        <f t="shared" ref="L67:O67" si="19">L64+L65+L66</f>
        <v>70.38000000000001</v>
      </c>
      <c r="M67" s="94">
        <f t="shared" si="19"/>
        <v>71.787599999999998</v>
      </c>
      <c r="N67" s="94">
        <f t="shared" si="19"/>
        <v>73.582289999999986</v>
      </c>
      <c r="O67" s="94">
        <f t="shared" si="19"/>
        <v>75.421847249999985</v>
      </c>
    </row>
    <row r="68" spans="1:15" ht="6" customHeight="1">
      <c r="C68" s="21"/>
      <c r="H68" s="62"/>
      <c r="I68" s="62"/>
      <c r="J68" s="62"/>
      <c r="K68" s="62"/>
      <c r="L68" s="62"/>
      <c r="M68" s="62"/>
      <c r="N68" s="62"/>
      <c r="O68" s="62"/>
    </row>
    <row r="69" spans="1:15" ht="13.8" thickBot="1">
      <c r="C69" s="554" t="s">
        <v>112</v>
      </c>
      <c r="F69" s="60" t="s">
        <v>105</v>
      </c>
      <c r="H69" s="66"/>
      <c r="I69" s="66"/>
      <c r="J69" s="66"/>
      <c r="K69" s="96">
        <f>K67+K61</f>
        <v>174.68685483870968</v>
      </c>
      <c r="L69" s="96">
        <f t="shared" ref="L69:O69" si="20">L67+L61</f>
        <v>182.49261561290325</v>
      </c>
      <c r="M69" s="96">
        <f t="shared" si="20"/>
        <v>190.71666264216776</v>
      </c>
      <c r="N69" s="96">
        <f t="shared" si="20"/>
        <v>200.36067077655082</v>
      </c>
      <c r="O69" s="96">
        <f t="shared" si="20"/>
        <v>209.56780061099997</v>
      </c>
    </row>
    <row r="70" spans="1:15" ht="12.75" customHeight="1" thickTop="1">
      <c r="B70" s="102"/>
      <c r="C70" s="103"/>
      <c r="D70" s="23"/>
      <c r="E70" s="23"/>
      <c r="F70" s="114"/>
      <c r="G70" s="115"/>
      <c r="H70" s="115"/>
      <c r="I70" s="115"/>
      <c r="J70" s="115"/>
      <c r="K70" s="115"/>
      <c r="L70" s="115"/>
      <c r="M70" s="115"/>
      <c r="N70" s="115"/>
      <c r="O70" s="115"/>
    </row>
    <row r="71" spans="1:15">
      <c r="H71" s="116"/>
      <c r="I71" s="116"/>
      <c r="J71" s="116"/>
      <c r="K71" s="116"/>
      <c r="L71" s="116"/>
      <c r="M71" s="116"/>
      <c r="N71" s="116"/>
      <c r="O71" s="116"/>
    </row>
    <row r="72" spans="1:15" ht="12.75" customHeight="1">
      <c r="A72" s="10"/>
      <c r="B72" s="11"/>
      <c r="C72" s="9"/>
      <c r="D72" s="9"/>
      <c r="E72" s="9"/>
      <c r="F72" s="31"/>
      <c r="G72" s="9"/>
      <c r="H72" s="9"/>
      <c r="I72" s="9"/>
      <c r="J72" s="9"/>
      <c r="K72" s="9"/>
      <c r="L72" s="9"/>
      <c r="M72" s="9"/>
      <c r="N72" s="9"/>
      <c r="O72" s="98" t="str">
        <f>$O$1</f>
        <v>Currently Running : Base Case Scenario</v>
      </c>
    </row>
    <row r="73" spans="1:15" ht="22.8">
      <c r="A73" s="10"/>
      <c r="B73" s="11" t="str">
        <f>B$2</f>
        <v>Blu Containers Company</v>
      </c>
      <c r="C73" s="9"/>
      <c r="D73" s="9"/>
      <c r="E73" s="9"/>
      <c r="F73" s="31"/>
      <c r="G73" s="9"/>
      <c r="H73" s="9"/>
      <c r="I73" s="9"/>
      <c r="J73" s="9"/>
      <c r="K73" s="9"/>
      <c r="L73" s="9"/>
      <c r="M73" s="9"/>
      <c r="N73" s="9"/>
      <c r="O73" s="9"/>
    </row>
    <row r="74" spans="1:15" ht="17.399999999999999">
      <c r="A74" s="12"/>
      <c r="B74" s="13" t="s">
        <v>63</v>
      </c>
      <c r="C74" s="14"/>
      <c r="D74" s="14"/>
      <c r="E74" s="14"/>
      <c r="F74" s="32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3" customHeight="1" thickBot="1">
      <c r="A75" s="12"/>
      <c r="B75" s="15"/>
      <c r="C75" s="16"/>
      <c r="D75" s="16"/>
      <c r="E75" s="16"/>
      <c r="F75" s="33"/>
      <c r="G75" s="16"/>
      <c r="H75" s="16"/>
      <c r="I75" s="16"/>
      <c r="J75" s="16"/>
      <c r="K75" s="16"/>
      <c r="L75" s="16"/>
      <c r="M75" s="16"/>
      <c r="N75" s="16"/>
      <c r="O75" s="16"/>
    </row>
    <row r="76" spans="1:15" ht="15" customHeight="1">
      <c r="A76" s="13"/>
      <c r="B76" s="555" t="s">
        <v>8</v>
      </c>
      <c r="C76" s="14"/>
      <c r="D76" s="14"/>
      <c r="E76" s="14"/>
      <c r="F76" s="32"/>
      <c r="G76" s="14"/>
      <c r="H76" s="14"/>
      <c r="I76" s="14"/>
      <c r="J76" s="14"/>
      <c r="K76" s="14"/>
      <c r="L76" s="14"/>
      <c r="M76" s="14"/>
      <c r="N76" s="14"/>
      <c r="O76" s="14"/>
    </row>
    <row r="77" spans="1:15">
      <c r="G77" s="34"/>
      <c r="K77" s="69" t="s">
        <v>7</v>
      </c>
      <c r="L77" s="70"/>
      <c r="M77" s="70"/>
      <c r="N77" s="70"/>
      <c r="O77" s="70"/>
    </row>
    <row r="78" spans="1:15">
      <c r="G78" s="35"/>
      <c r="H78" s="36">
        <f t="shared" ref="H78:O78" si="21">H$7</f>
        <v>2020</v>
      </c>
      <c r="I78" s="36">
        <f t="shared" si="21"/>
        <v>2021</v>
      </c>
      <c r="J78" s="36">
        <f t="shared" si="21"/>
        <v>2022</v>
      </c>
      <c r="K78" s="88">
        <f t="shared" si="21"/>
        <v>2023</v>
      </c>
      <c r="L78" s="88">
        <f t="shared" si="21"/>
        <v>2024</v>
      </c>
      <c r="M78" s="88">
        <f t="shared" si="21"/>
        <v>2025</v>
      </c>
      <c r="N78" s="88">
        <f t="shared" si="21"/>
        <v>2026</v>
      </c>
      <c r="O78" s="88">
        <f t="shared" si="21"/>
        <v>2027</v>
      </c>
    </row>
    <row r="79" spans="1:15" ht="6" customHeight="1">
      <c r="G79" s="35"/>
      <c r="H79" s="35"/>
      <c r="I79" s="35"/>
      <c r="J79" s="35"/>
      <c r="K79" s="149"/>
      <c r="L79" s="149"/>
      <c r="M79" s="149"/>
      <c r="N79" s="166"/>
      <c r="O79" s="71"/>
    </row>
    <row r="80" spans="1:15">
      <c r="B80" s="105" t="s">
        <v>98</v>
      </c>
      <c r="C80" s="106"/>
      <c r="D80" s="106"/>
      <c r="E80" s="106"/>
      <c r="F80" s="106" t="s">
        <v>100</v>
      </c>
      <c r="G80" s="117"/>
      <c r="H80" s="118"/>
      <c r="I80" s="118"/>
      <c r="J80" s="118">
        <f t="shared" ref="J80" si="22">J20</f>
        <v>344.4700460829493</v>
      </c>
      <c r="K80" s="150"/>
      <c r="L80" s="150"/>
      <c r="M80" s="150"/>
      <c r="N80" s="150"/>
      <c r="O80" s="167"/>
    </row>
    <row r="81" spans="1:15" ht="6" customHeight="1">
      <c r="F81" s="38"/>
      <c r="G81" s="35"/>
      <c r="H81" s="35"/>
      <c r="I81" s="35"/>
      <c r="J81" s="35"/>
      <c r="K81" s="149"/>
      <c r="L81" s="149"/>
      <c r="M81" s="149"/>
      <c r="N81" s="166"/>
      <c r="O81" s="71"/>
    </row>
    <row r="82" spans="1:15">
      <c r="B82" s="21" t="s">
        <v>103</v>
      </c>
      <c r="F82" s="38"/>
      <c r="G82" s="35"/>
      <c r="H82" s="35"/>
      <c r="I82" s="35"/>
      <c r="J82" s="35"/>
      <c r="K82" s="149"/>
      <c r="L82" s="149"/>
      <c r="M82" s="149"/>
      <c r="N82" s="166"/>
      <c r="O82" s="71"/>
    </row>
    <row r="83" spans="1:15">
      <c r="C83" t="s">
        <v>104</v>
      </c>
      <c r="F83" s="38"/>
      <c r="G83" s="35"/>
      <c r="H83" s="59">
        <v>244.8</v>
      </c>
      <c r="I83" s="59">
        <v>269.3</v>
      </c>
      <c r="J83" s="59">
        <v>239.2</v>
      </c>
      <c r="K83" s="151">
        <f>K26</f>
        <v>289.35483870967738</v>
      </c>
      <c r="L83" s="151">
        <f t="shared" ref="L83:O85" si="23">L26</f>
        <v>272.716935483871</v>
      </c>
      <c r="M83" s="151">
        <f t="shared" si="23"/>
        <v>322.74638709677424</v>
      </c>
      <c r="N83" s="151">
        <f t="shared" si="23"/>
        <v>325.48484129032266</v>
      </c>
      <c r="O83" s="151">
        <f t="shared" si="23"/>
        <v>315</v>
      </c>
    </row>
    <row r="84" spans="1:15">
      <c r="C84" s="18" t="s">
        <v>96</v>
      </c>
      <c r="F84" s="38"/>
      <c r="G84" s="35"/>
      <c r="H84" s="119">
        <v>31.3</v>
      </c>
      <c r="I84" s="119">
        <v>32.700000000000003</v>
      </c>
      <c r="J84" s="119">
        <v>34.4</v>
      </c>
      <c r="K84" s="152">
        <f>K27</f>
        <v>36.892741935483869</v>
      </c>
      <c r="L84" s="152">
        <f t="shared" si="23"/>
        <v>39.135820645161296</v>
      </c>
      <c r="M84" s="152">
        <f t="shared" si="23"/>
        <v>41.515278540387101</v>
      </c>
      <c r="N84" s="152">
        <f t="shared" si="23"/>
        <v>44.255286924052648</v>
      </c>
      <c r="O84" s="152">
        <f t="shared" si="23"/>
        <v>46.827129509999992</v>
      </c>
    </row>
    <row r="85" spans="1:15">
      <c r="C85" s="21" t="s">
        <v>11</v>
      </c>
      <c r="F85" s="46"/>
      <c r="G85" s="35"/>
      <c r="H85" s="120">
        <f t="shared" ref="H85:J85" si="24">+H83-H84</f>
        <v>213.5</v>
      </c>
      <c r="I85" s="120">
        <f t="shared" si="24"/>
        <v>236.60000000000002</v>
      </c>
      <c r="J85" s="120">
        <f t="shared" si="24"/>
        <v>204.79999999999998</v>
      </c>
      <c r="K85" s="153">
        <f>K28</f>
        <v>252.46209677419353</v>
      </c>
      <c r="L85" s="153">
        <f t="shared" si="23"/>
        <v>233.58111483870971</v>
      </c>
      <c r="M85" s="153">
        <f t="shared" si="23"/>
        <v>281.23110855638714</v>
      </c>
      <c r="N85" s="153">
        <f t="shared" si="23"/>
        <v>281.22955436627001</v>
      </c>
      <c r="O85" s="153">
        <f t="shared" si="23"/>
        <v>268.17287049000004</v>
      </c>
    </row>
    <row r="86" spans="1:15">
      <c r="F86" s="38"/>
      <c r="G86" s="35"/>
      <c r="H86" s="121"/>
      <c r="I86" s="121"/>
      <c r="J86" s="121"/>
      <c r="K86" s="154"/>
      <c r="L86" s="154"/>
      <c r="M86" s="154"/>
      <c r="N86" s="154"/>
      <c r="O86" s="101"/>
    </row>
    <row r="87" spans="1:15">
      <c r="C87" t="s">
        <v>114</v>
      </c>
      <c r="F87" s="38"/>
      <c r="G87" s="35"/>
      <c r="H87" s="122">
        <v>159.9</v>
      </c>
      <c r="I87" s="122">
        <v>164.6</v>
      </c>
      <c r="J87" s="122">
        <v>167.9</v>
      </c>
      <c r="K87" s="151">
        <f>K69</f>
        <v>174.68685483870968</v>
      </c>
      <c r="L87" s="151">
        <f t="shared" ref="L87:O87" si="25">L69</f>
        <v>182.49261561290325</v>
      </c>
      <c r="M87" s="151">
        <f t="shared" si="25"/>
        <v>190.71666264216776</v>
      </c>
      <c r="N87" s="151">
        <f t="shared" si="25"/>
        <v>200.36067077655082</v>
      </c>
      <c r="O87" s="151">
        <f t="shared" si="25"/>
        <v>209.56780061099997</v>
      </c>
    </row>
    <row r="88" spans="1:15">
      <c r="A88" s="22"/>
      <c r="C88" s="549" t="s">
        <v>115</v>
      </c>
      <c r="F88" s="38"/>
      <c r="G88" s="35"/>
      <c r="H88" s="123">
        <v>3.4</v>
      </c>
      <c r="I88" s="123">
        <v>3.6</v>
      </c>
      <c r="J88" s="123">
        <v>3.8</v>
      </c>
      <c r="K88" s="155">
        <f>Assumptions!E32</f>
        <v>3.9</v>
      </c>
      <c r="L88" s="152">
        <f>K88*(1+L40)</f>
        <v>3.9779999999999998</v>
      </c>
      <c r="M88" s="152">
        <f t="shared" ref="M88:O88" si="26">L88*(1+M40)</f>
        <v>4.0575599999999996</v>
      </c>
      <c r="N88" s="152">
        <f t="shared" si="26"/>
        <v>4.1589989999999997</v>
      </c>
      <c r="O88" s="152">
        <f t="shared" si="26"/>
        <v>4.2629739749999995</v>
      </c>
    </row>
    <row r="89" spans="1:15">
      <c r="C89" s="554" t="s">
        <v>112</v>
      </c>
      <c r="F89" s="46"/>
      <c r="G89" s="35"/>
      <c r="H89" s="120">
        <f t="shared" ref="H89:J89" si="27">SUM(H87:H88)</f>
        <v>163.30000000000001</v>
      </c>
      <c r="I89" s="120">
        <f t="shared" si="27"/>
        <v>168.2</v>
      </c>
      <c r="J89" s="120">
        <f t="shared" si="27"/>
        <v>171.70000000000002</v>
      </c>
      <c r="K89" s="153">
        <f>K87+K88</f>
        <v>178.58685483870968</v>
      </c>
      <c r="L89" s="153">
        <f t="shared" ref="L89:O89" si="28">L87+L88</f>
        <v>186.47061561290326</v>
      </c>
      <c r="M89" s="153">
        <f t="shared" si="28"/>
        <v>194.77422264216776</v>
      </c>
      <c r="N89" s="153">
        <f t="shared" si="28"/>
        <v>204.51966977655081</v>
      </c>
      <c r="O89" s="153">
        <f t="shared" si="28"/>
        <v>213.83077458599996</v>
      </c>
    </row>
    <row r="90" spans="1:15">
      <c r="C90" s="17"/>
      <c r="F90" s="46"/>
      <c r="G90" s="35"/>
      <c r="H90" s="124"/>
      <c r="I90" s="124"/>
      <c r="J90" s="124"/>
      <c r="K90" s="124"/>
      <c r="L90" s="124"/>
      <c r="M90" s="124"/>
      <c r="N90" s="124"/>
      <c r="O90" s="124"/>
    </row>
    <row r="91" spans="1:15">
      <c r="A91" s="22"/>
      <c r="C91" s="549" t="s">
        <v>64</v>
      </c>
      <c r="F91" s="38"/>
      <c r="G91" s="35"/>
      <c r="H91" s="125">
        <v>0</v>
      </c>
      <c r="I91" s="125">
        <v>0</v>
      </c>
      <c r="J91" s="125">
        <v>0</v>
      </c>
      <c r="K91" s="155">
        <f>Assumptions!J53</f>
        <v>0</v>
      </c>
      <c r="L91" s="155">
        <f>Assumptions!K53</f>
        <v>0</v>
      </c>
      <c r="M91" s="155">
        <f>Assumptions!L53</f>
        <v>0</v>
      </c>
      <c r="N91" s="155">
        <f>Assumptions!M53</f>
        <v>0</v>
      </c>
      <c r="O91" s="155">
        <f>Assumptions!N53</f>
        <v>0</v>
      </c>
    </row>
    <row r="92" spans="1:15">
      <c r="B92" s="21"/>
      <c r="C92" s="21" t="s">
        <v>15</v>
      </c>
      <c r="F92" s="46"/>
      <c r="H92" s="126">
        <f t="shared" ref="H92:J92" si="29">H85-H89+H91</f>
        <v>50.199999999999989</v>
      </c>
      <c r="I92" s="126">
        <f t="shared" si="29"/>
        <v>68.400000000000034</v>
      </c>
      <c r="J92" s="126">
        <f t="shared" si="29"/>
        <v>33.099999999999966</v>
      </c>
      <c r="K92" s="94">
        <f>K85-K89</f>
        <v>73.875241935483842</v>
      </c>
      <c r="L92" s="94">
        <f t="shared" ref="L92:O92" si="30">L85-L89</f>
        <v>47.11049922580645</v>
      </c>
      <c r="M92" s="94">
        <f t="shared" si="30"/>
        <v>86.456885914219384</v>
      </c>
      <c r="N92" s="94">
        <f t="shared" si="30"/>
        <v>76.709884589719195</v>
      </c>
      <c r="O92" s="94">
        <f t="shared" si="30"/>
        <v>54.342095904000075</v>
      </c>
    </row>
    <row r="93" spans="1:15">
      <c r="F93" s="38"/>
      <c r="H93" s="62"/>
      <c r="I93" s="62"/>
      <c r="J93" s="156"/>
      <c r="K93" s="156"/>
      <c r="L93" s="156"/>
      <c r="M93" s="156"/>
      <c r="N93" s="156"/>
      <c r="O93" s="156"/>
    </row>
    <row r="94" spans="1:15">
      <c r="C94" t="s">
        <v>116</v>
      </c>
      <c r="F94" s="38"/>
      <c r="H94" s="127">
        <v>15.4</v>
      </c>
      <c r="I94" s="127">
        <v>15.5</v>
      </c>
      <c r="J94" s="127">
        <v>15.8</v>
      </c>
      <c r="K94" s="93"/>
      <c r="L94" s="93"/>
      <c r="M94" s="93"/>
      <c r="N94" s="93"/>
      <c r="O94" s="93"/>
    </row>
    <row r="95" spans="1:15">
      <c r="C95" s="554" t="s">
        <v>117</v>
      </c>
      <c r="F95" s="46"/>
      <c r="H95" s="61">
        <f t="shared" ref="H95:J95" si="31">H92-H94</f>
        <v>34.79999999999999</v>
      </c>
      <c r="I95" s="61">
        <f t="shared" si="31"/>
        <v>52.900000000000034</v>
      </c>
      <c r="J95" s="61">
        <f t="shared" si="31"/>
        <v>17.299999999999965</v>
      </c>
      <c r="K95" s="94"/>
      <c r="L95" s="94"/>
      <c r="M95" s="94"/>
      <c r="N95" s="94"/>
      <c r="O95" s="94"/>
    </row>
    <row r="96" spans="1:15" ht="6" customHeight="1">
      <c r="C96" s="17"/>
      <c r="F96" s="46"/>
      <c r="H96" s="65"/>
      <c r="I96" s="65"/>
      <c r="J96" s="65"/>
      <c r="K96" s="65"/>
      <c r="L96" s="65"/>
      <c r="M96" s="65"/>
      <c r="N96" s="65"/>
      <c r="O96" s="65"/>
    </row>
    <row r="97" spans="2:16">
      <c r="C97" s="18" t="s">
        <v>118</v>
      </c>
      <c r="F97" s="38"/>
      <c r="H97" s="128">
        <v>15</v>
      </c>
      <c r="I97" s="128">
        <v>15</v>
      </c>
      <c r="J97" s="128">
        <v>14</v>
      </c>
      <c r="K97" s="93"/>
      <c r="L97" s="93"/>
      <c r="M97" s="93"/>
      <c r="N97" s="93"/>
      <c r="O97" s="93"/>
    </row>
    <row r="98" spans="2:16">
      <c r="C98" s="17" t="s">
        <v>119</v>
      </c>
      <c r="F98" s="46"/>
      <c r="H98" s="64">
        <f t="shared" ref="H98:J98" si="32">H95-H97</f>
        <v>19.79999999999999</v>
      </c>
      <c r="I98" s="64">
        <f t="shared" si="32"/>
        <v>37.900000000000034</v>
      </c>
      <c r="J98" s="64">
        <f t="shared" si="32"/>
        <v>3.2999999999999652</v>
      </c>
      <c r="K98" s="91"/>
      <c r="L98" s="91"/>
      <c r="M98" s="91"/>
      <c r="N98" s="91"/>
      <c r="O98" s="91"/>
    </row>
    <row r="99" spans="2:16" ht="6" customHeight="1">
      <c r="C99" s="17"/>
      <c r="F99" s="46"/>
      <c r="H99" s="129"/>
      <c r="I99" s="129"/>
      <c r="J99" s="129"/>
      <c r="K99" s="129"/>
      <c r="L99" s="65"/>
      <c r="M99" s="61"/>
      <c r="N99" s="61"/>
      <c r="O99" s="65"/>
    </row>
    <row r="100" spans="2:16">
      <c r="C100" t="s">
        <v>120</v>
      </c>
      <c r="F100" s="38"/>
      <c r="H100" s="59">
        <v>3</v>
      </c>
      <c r="I100" s="59">
        <v>8</v>
      </c>
      <c r="J100" s="59">
        <v>0</v>
      </c>
      <c r="K100" s="91"/>
      <c r="L100" s="91"/>
      <c r="M100" s="91"/>
      <c r="N100" s="91"/>
      <c r="O100" s="91"/>
    </row>
    <row r="101" spans="2:16">
      <c r="C101" t="s">
        <v>121</v>
      </c>
      <c r="F101" s="38"/>
      <c r="H101" s="119">
        <v>2.7</v>
      </c>
      <c r="I101" s="119">
        <v>6.2</v>
      </c>
      <c r="J101" s="119">
        <v>1.1000000000000001</v>
      </c>
      <c r="K101" s="93"/>
      <c r="L101" s="93"/>
      <c r="M101" s="93"/>
      <c r="N101" s="93"/>
      <c r="O101" s="93"/>
    </row>
    <row r="102" spans="2:16">
      <c r="C102" s="21" t="s">
        <v>122</v>
      </c>
      <c r="F102" s="46"/>
      <c r="H102" s="130">
        <f t="shared" ref="H102:J102" si="33">SUM(H100:H101)</f>
        <v>5.7</v>
      </c>
      <c r="I102" s="130">
        <f t="shared" si="33"/>
        <v>14.2</v>
      </c>
      <c r="J102" s="130">
        <f t="shared" si="33"/>
        <v>1.1000000000000001</v>
      </c>
      <c r="K102" s="157"/>
      <c r="L102" s="157"/>
      <c r="M102" s="157"/>
      <c r="N102" s="157"/>
      <c r="O102" s="157"/>
    </row>
    <row r="103" spans="2:16">
      <c r="F103" s="38"/>
    </row>
    <row r="104" spans="2:16" ht="13.8" thickBot="1">
      <c r="C104" s="556" t="s">
        <v>17</v>
      </c>
      <c r="D104" s="21"/>
      <c r="E104" s="21"/>
      <c r="F104" s="46"/>
      <c r="H104" s="131">
        <f t="shared" ref="H104:J104" si="34">H98-H102</f>
        <v>14.099999999999991</v>
      </c>
      <c r="I104" s="131">
        <f t="shared" si="34"/>
        <v>23.700000000000035</v>
      </c>
      <c r="J104" s="131">
        <f t="shared" si="34"/>
        <v>2.1999999999999651</v>
      </c>
      <c r="K104" s="158"/>
      <c r="L104" s="158"/>
      <c r="M104" s="158"/>
      <c r="N104" s="158"/>
      <c r="O104" s="158"/>
    </row>
    <row r="105" spans="2:16" ht="13.8" thickTop="1">
      <c r="C105" s="107"/>
      <c r="F105"/>
      <c r="H105" s="132"/>
      <c r="I105" s="132"/>
      <c r="J105" s="132"/>
      <c r="K105" s="132"/>
      <c r="L105" s="132"/>
      <c r="M105" s="132"/>
      <c r="N105" s="132"/>
      <c r="O105" s="132"/>
    </row>
    <row r="106" spans="2:16">
      <c r="H106" s="116"/>
      <c r="I106" s="116"/>
      <c r="J106" s="116"/>
      <c r="K106" s="159"/>
      <c r="L106" s="159"/>
      <c r="M106" s="159"/>
      <c r="N106" s="159"/>
      <c r="O106" s="159"/>
    </row>
    <row r="107" spans="2:16">
      <c r="B107" s="108" t="s">
        <v>123</v>
      </c>
      <c r="C107" s="109"/>
      <c r="D107" s="109"/>
      <c r="E107" s="109"/>
      <c r="F107" s="133"/>
      <c r="G107" s="109"/>
      <c r="H107" s="134"/>
      <c r="I107" s="134"/>
      <c r="J107" s="134"/>
      <c r="K107" s="134"/>
      <c r="L107" s="134"/>
      <c r="M107" s="134"/>
      <c r="N107" s="134"/>
      <c r="O107" s="168"/>
    </row>
    <row r="108" spans="2:16">
      <c r="B108" s="110"/>
      <c r="C108" t="s">
        <v>124</v>
      </c>
      <c r="H108" s="135">
        <f t="shared" ref="H108:J108" si="35">H92/H85</f>
        <v>0.23512880562060884</v>
      </c>
      <c r="I108" s="135">
        <f t="shared" si="35"/>
        <v>0.28909551986475074</v>
      </c>
      <c r="J108" s="135">
        <f t="shared" si="35"/>
        <v>0.16162109374999983</v>
      </c>
      <c r="K108" s="160"/>
      <c r="L108" s="160"/>
      <c r="M108" s="160"/>
      <c r="N108" s="160"/>
      <c r="O108" s="169"/>
      <c r="P108" s="170"/>
    </row>
    <row r="109" spans="2:16">
      <c r="B109" s="110"/>
      <c r="C109" t="s">
        <v>125</v>
      </c>
      <c r="H109" s="135">
        <f t="shared" ref="H109:J109" si="36">H95/H85</f>
        <v>0.16299765807962524</v>
      </c>
      <c r="I109" s="135">
        <f t="shared" si="36"/>
        <v>0.22358410819949293</v>
      </c>
      <c r="J109" s="135">
        <f t="shared" si="36"/>
        <v>8.4472656249999833E-2</v>
      </c>
      <c r="K109" s="160"/>
      <c r="L109" s="160"/>
      <c r="M109" s="160"/>
      <c r="N109" s="160"/>
      <c r="O109" s="169"/>
    </row>
    <row r="110" spans="2:16">
      <c r="B110" s="111"/>
      <c r="C110" s="23" t="s">
        <v>126</v>
      </c>
      <c r="D110" s="23"/>
      <c r="E110" s="23"/>
      <c r="F110" s="53"/>
      <c r="G110" s="23"/>
      <c r="H110" s="136"/>
      <c r="I110" s="136"/>
      <c r="J110" s="161">
        <f t="shared" ref="J110" si="37">J104/J184</f>
        <v>8.5106382978722053E-3</v>
      </c>
      <c r="K110" s="162"/>
      <c r="L110" s="162"/>
      <c r="M110" s="162"/>
      <c r="N110" s="162"/>
      <c r="O110" s="171"/>
    </row>
    <row r="111" spans="2:16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2:16">
      <c r="C112" s="112"/>
      <c r="H112" s="137"/>
      <c r="I112" s="137"/>
      <c r="J112" s="137"/>
      <c r="K112" s="137"/>
      <c r="L112" s="137"/>
      <c r="M112" s="137"/>
      <c r="N112" s="137"/>
      <c r="O112" s="137"/>
    </row>
    <row r="113" spans="1:15" ht="12.75" customHeight="1">
      <c r="A113" s="10"/>
      <c r="B113" s="11"/>
      <c r="C113" s="9"/>
      <c r="D113" s="9"/>
      <c r="E113" s="9"/>
      <c r="F113" s="31"/>
      <c r="G113" s="9"/>
      <c r="H113" s="9"/>
      <c r="I113" s="9"/>
      <c r="J113" s="9"/>
      <c r="K113" s="9"/>
      <c r="L113" s="9"/>
      <c r="M113" s="9"/>
      <c r="N113" s="9"/>
      <c r="O113" s="98" t="str">
        <f>$O$1</f>
        <v>Currently Running : Base Case Scenario</v>
      </c>
    </row>
    <row r="114" spans="1:15" ht="22.8">
      <c r="B114" s="11" t="str">
        <f>B$2</f>
        <v>Blu Containers Company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17.399999999999999">
      <c r="B115" s="13" t="s">
        <v>65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3" customHeight="1" thickBot="1">
      <c r="A116" s="12"/>
      <c r="B116" s="15"/>
      <c r="C116" s="16"/>
      <c r="D116" s="16"/>
      <c r="E116" s="16"/>
      <c r="F116" s="33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>
      <c r="B117" s="555" t="s">
        <v>8</v>
      </c>
      <c r="F117"/>
    </row>
    <row r="118" spans="1:15">
      <c r="F118"/>
      <c r="K118" s="69" t="s">
        <v>7</v>
      </c>
      <c r="L118" s="70"/>
      <c r="M118" s="70"/>
      <c r="N118" s="70"/>
      <c r="O118" s="70"/>
    </row>
    <row r="119" spans="1:15">
      <c r="B119" s="113"/>
      <c r="F119" s="138"/>
      <c r="G119" s="139"/>
      <c r="H119" s="36">
        <f t="shared" ref="H119:O119" si="38">H$7</f>
        <v>2020</v>
      </c>
      <c r="I119" s="36">
        <f t="shared" si="38"/>
        <v>2021</v>
      </c>
      <c r="J119" s="36">
        <f t="shared" si="38"/>
        <v>2022</v>
      </c>
      <c r="K119" s="88">
        <f t="shared" si="38"/>
        <v>2023</v>
      </c>
      <c r="L119" s="88">
        <f t="shared" si="38"/>
        <v>2024</v>
      </c>
      <c r="M119" s="88">
        <f t="shared" si="38"/>
        <v>2025</v>
      </c>
      <c r="N119" s="88">
        <f t="shared" si="38"/>
        <v>2026</v>
      </c>
      <c r="O119" s="88">
        <f t="shared" si="38"/>
        <v>2027</v>
      </c>
    </row>
    <row r="120" spans="1:15">
      <c r="B120" s="21" t="s">
        <v>127</v>
      </c>
      <c r="F120" t="s">
        <v>316</v>
      </c>
    </row>
    <row r="121" spans="1:15">
      <c r="C121" t="s">
        <v>17</v>
      </c>
      <c r="F121"/>
      <c r="G121" s="140"/>
      <c r="H121" s="141">
        <v>14.1</v>
      </c>
      <c r="I121" s="141">
        <v>23.7</v>
      </c>
      <c r="J121" s="141">
        <v>2.2000000000000002</v>
      </c>
      <c r="K121" s="163"/>
      <c r="L121" s="163"/>
      <c r="M121" s="163"/>
      <c r="N121" s="163"/>
      <c r="O121" s="163"/>
    </row>
    <row r="122" spans="1:15">
      <c r="C122" t="s">
        <v>128</v>
      </c>
      <c r="F122"/>
      <c r="G122" s="140"/>
      <c r="H122" s="141">
        <v>15.4</v>
      </c>
      <c r="I122" s="141">
        <v>15.5</v>
      </c>
      <c r="J122" s="141">
        <v>15.8</v>
      </c>
      <c r="K122" s="163"/>
      <c r="L122" s="163"/>
      <c r="M122" s="163"/>
      <c r="N122" s="163"/>
      <c r="O122" s="163"/>
    </row>
    <row r="123" spans="1:15">
      <c r="C123" t="s">
        <v>121</v>
      </c>
      <c r="F123"/>
      <c r="G123" s="142"/>
      <c r="H123" s="141">
        <v>2.7</v>
      </c>
      <c r="I123" s="141">
        <v>6.2</v>
      </c>
      <c r="J123" s="141">
        <v>1.1000000000000001</v>
      </c>
      <c r="K123" s="163"/>
      <c r="L123" s="163"/>
      <c r="M123" s="163"/>
      <c r="N123" s="163"/>
      <c r="O123" s="163"/>
    </row>
    <row r="124" spans="1:15">
      <c r="C124" t="s">
        <v>129</v>
      </c>
      <c r="F124"/>
      <c r="G124" s="143"/>
      <c r="H124" s="144">
        <v>0</v>
      </c>
      <c r="I124" s="144">
        <v>0</v>
      </c>
      <c r="J124" s="164">
        <v>0</v>
      </c>
      <c r="K124" s="93"/>
      <c r="L124" s="93"/>
      <c r="M124" s="93"/>
      <c r="N124" s="93"/>
      <c r="O124" s="93"/>
    </row>
    <row r="125" spans="1:15">
      <c r="C125" s="554" t="s">
        <v>130</v>
      </c>
      <c r="F125"/>
      <c r="G125" s="65"/>
      <c r="H125" s="145">
        <f t="shared" ref="H125:J125" si="39">SUM(H121:H124)</f>
        <v>32.200000000000003</v>
      </c>
      <c r="I125" s="145">
        <f t="shared" si="39"/>
        <v>45.400000000000006</v>
      </c>
      <c r="J125" s="145">
        <f t="shared" si="39"/>
        <v>19.100000000000001</v>
      </c>
      <c r="K125" s="165"/>
      <c r="L125" s="165"/>
      <c r="M125" s="165"/>
      <c r="N125" s="165"/>
      <c r="O125" s="165"/>
    </row>
    <row r="126" spans="1:15">
      <c r="B126" s="18"/>
      <c r="F126"/>
      <c r="G126" s="116"/>
      <c r="H126" s="146"/>
      <c r="I126" s="146"/>
      <c r="J126" s="146"/>
      <c r="K126" s="146"/>
      <c r="L126" s="146"/>
      <c r="M126" s="146"/>
      <c r="N126" s="146"/>
      <c r="O126" s="146"/>
    </row>
    <row r="127" spans="1:15">
      <c r="B127" s="18"/>
      <c r="F127"/>
      <c r="G127" s="116"/>
      <c r="H127" s="146"/>
      <c r="I127" s="146"/>
      <c r="J127" s="146"/>
      <c r="K127" s="146"/>
      <c r="L127" s="146"/>
      <c r="M127" s="146"/>
      <c r="N127" s="146"/>
      <c r="O127" s="146"/>
    </row>
    <row r="128" spans="1:15">
      <c r="B128" s="21" t="s">
        <v>131</v>
      </c>
      <c r="F128" t="s">
        <v>317</v>
      </c>
      <c r="G128" s="147"/>
      <c r="H128" s="148"/>
      <c r="I128" s="148"/>
      <c r="J128" s="148"/>
      <c r="K128" s="142"/>
      <c r="L128" s="142"/>
      <c r="M128" s="142"/>
      <c r="N128" s="142"/>
      <c r="O128" s="142"/>
    </row>
    <row r="129" spans="1:16">
      <c r="C129" t="s">
        <v>132</v>
      </c>
      <c r="H129" s="178">
        <v>-14.1</v>
      </c>
      <c r="I129" s="178">
        <v>-15</v>
      </c>
      <c r="J129" s="178">
        <v>-15.5</v>
      </c>
      <c r="K129" s="90">
        <f>-Assumptions!J58</f>
        <v>-16</v>
      </c>
      <c r="L129" s="90">
        <f>-Assumptions!K58</f>
        <v>-17</v>
      </c>
      <c r="M129" s="90">
        <f>-Assumptions!L58</f>
        <v>-17.3</v>
      </c>
      <c r="N129" s="90">
        <f>-Assumptions!M58</f>
        <v>-17.5</v>
      </c>
      <c r="O129" s="90">
        <f>-Assumptions!N58</f>
        <v>-18</v>
      </c>
    </row>
    <row r="130" spans="1:16">
      <c r="C130" t="s">
        <v>52</v>
      </c>
      <c r="H130" s="127">
        <v>-5</v>
      </c>
      <c r="I130" s="127">
        <v>4</v>
      </c>
      <c r="J130" s="127">
        <v>3</v>
      </c>
      <c r="K130" s="155"/>
      <c r="L130" s="155"/>
      <c r="M130" s="155"/>
      <c r="N130" s="155"/>
      <c r="O130" s="155"/>
    </row>
    <row r="131" spans="1:16">
      <c r="A131" s="21"/>
      <c r="C131" s="21" t="s">
        <v>133</v>
      </c>
      <c r="F131"/>
      <c r="G131" s="65"/>
      <c r="H131" s="179">
        <f t="shared" ref="H131:J131" si="40">SUM(H129:H130)</f>
        <v>-19.100000000000001</v>
      </c>
      <c r="I131" s="179">
        <f t="shared" si="40"/>
        <v>-11</v>
      </c>
      <c r="J131" s="179">
        <f t="shared" si="40"/>
        <v>-12.5</v>
      </c>
      <c r="K131" s="202"/>
      <c r="L131" s="202"/>
      <c r="M131" s="202"/>
      <c r="N131" s="202"/>
      <c r="O131" s="202"/>
    </row>
    <row r="132" spans="1:16">
      <c r="A132" s="21"/>
      <c r="B132" s="17"/>
      <c r="F132"/>
      <c r="G132" s="65"/>
      <c r="H132" s="180"/>
      <c r="I132" s="180"/>
      <c r="J132" s="203"/>
      <c r="K132" s="204"/>
      <c r="L132" s="204"/>
      <c r="M132" s="204"/>
      <c r="N132" s="204"/>
      <c r="O132" s="204"/>
    </row>
    <row r="133" spans="1:16">
      <c r="A133" s="21"/>
      <c r="B133" s="17"/>
      <c r="F133"/>
      <c r="G133" s="65"/>
      <c r="H133" s="180"/>
      <c r="I133" s="180"/>
      <c r="J133" s="180"/>
      <c r="K133" s="204"/>
      <c r="L133" s="204"/>
      <c r="M133" s="204"/>
      <c r="N133" s="204"/>
      <c r="O133" s="204"/>
    </row>
    <row r="134" spans="1:16">
      <c r="A134" s="21"/>
      <c r="B134" s="17" t="s">
        <v>134</v>
      </c>
      <c r="F134" t="s">
        <v>318</v>
      </c>
      <c r="G134" s="65"/>
      <c r="H134" s="181"/>
      <c r="I134" s="181"/>
      <c r="J134" s="181"/>
      <c r="K134" s="205"/>
      <c r="L134" s="205"/>
      <c r="M134" s="205"/>
      <c r="N134" s="205"/>
      <c r="O134" s="205"/>
      <c r="P134" t="s">
        <v>322</v>
      </c>
    </row>
    <row r="135" spans="1:16">
      <c r="A135" s="21"/>
      <c r="B135" s="17"/>
      <c r="C135" t="s">
        <v>135</v>
      </c>
      <c r="F135"/>
      <c r="G135" s="65"/>
      <c r="H135" s="178">
        <v>0</v>
      </c>
      <c r="I135" s="178">
        <v>0</v>
      </c>
      <c r="J135" s="178">
        <v>0</v>
      </c>
      <c r="K135" s="163"/>
      <c r="L135" s="163"/>
      <c r="M135" s="163"/>
      <c r="N135" s="163"/>
      <c r="O135" s="163"/>
    </row>
    <row r="136" spans="1:16">
      <c r="A136" s="21"/>
      <c r="B136" s="17"/>
      <c r="C136" t="s">
        <v>136</v>
      </c>
      <c r="F136"/>
      <c r="G136" s="65"/>
      <c r="H136" s="178">
        <v>-25</v>
      </c>
      <c r="I136" s="178">
        <v>-25</v>
      </c>
      <c r="J136" s="178">
        <v>-25</v>
      </c>
      <c r="K136" s="163"/>
      <c r="L136" s="163"/>
      <c r="M136" s="163"/>
      <c r="N136" s="163"/>
      <c r="O136" s="163"/>
    </row>
    <row r="137" spans="1:16">
      <c r="A137" s="21"/>
      <c r="B137" s="17"/>
      <c r="C137" t="s">
        <v>137</v>
      </c>
      <c r="F137"/>
      <c r="G137" s="65"/>
      <c r="H137" s="178">
        <v>0</v>
      </c>
      <c r="I137" s="178">
        <v>0</v>
      </c>
      <c r="J137" s="178">
        <v>0</v>
      </c>
      <c r="K137" s="163"/>
      <c r="L137" s="163"/>
      <c r="M137" s="163"/>
      <c r="N137" s="163"/>
      <c r="O137" s="163"/>
    </row>
    <row r="138" spans="1:16">
      <c r="A138" s="21"/>
      <c r="B138" s="17"/>
      <c r="C138" t="s">
        <v>138</v>
      </c>
      <c r="F138"/>
      <c r="G138" s="65"/>
      <c r="H138" s="127">
        <v>-2.8</v>
      </c>
      <c r="I138" s="127">
        <v>-4.7</v>
      </c>
      <c r="J138" s="127">
        <v>-2.4</v>
      </c>
      <c r="K138" s="163"/>
      <c r="L138" s="163"/>
      <c r="M138" s="163"/>
      <c r="N138" s="163"/>
      <c r="O138" s="163"/>
    </row>
    <row r="139" spans="1:16">
      <c r="A139" s="21"/>
      <c r="B139" s="17"/>
      <c r="C139" s="21" t="s">
        <v>139</v>
      </c>
      <c r="F139"/>
      <c r="G139" s="65"/>
      <c r="H139" s="179">
        <f t="shared" ref="H139:J139" si="41">SUM(H135:H138)</f>
        <v>-27.8</v>
      </c>
      <c r="I139" s="179">
        <f t="shared" si="41"/>
        <v>-29.7</v>
      </c>
      <c r="J139" s="179">
        <f t="shared" si="41"/>
        <v>-27.4</v>
      </c>
      <c r="K139" s="202"/>
      <c r="L139" s="202"/>
      <c r="M139" s="202"/>
      <c r="N139" s="202"/>
      <c r="O139" s="202"/>
    </row>
    <row r="140" spans="1:16">
      <c r="A140" s="21"/>
      <c r="B140" s="17"/>
      <c r="F140"/>
      <c r="G140" s="65"/>
      <c r="H140" s="181"/>
      <c r="I140" s="181"/>
      <c r="J140" s="181"/>
      <c r="K140" s="181"/>
      <c r="L140" s="181"/>
      <c r="M140" s="181"/>
      <c r="N140" s="181"/>
      <c r="O140" s="181"/>
    </row>
    <row r="141" spans="1:16">
      <c r="A141" s="21"/>
      <c r="C141" s="17"/>
      <c r="F141"/>
      <c r="G141" s="65"/>
      <c r="H141" s="181"/>
      <c r="I141" s="181"/>
      <c r="J141" s="181"/>
      <c r="K141" s="181"/>
      <c r="L141" s="181"/>
      <c r="M141" s="181"/>
      <c r="N141" s="181"/>
      <c r="O141" s="181"/>
    </row>
    <row r="142" spans="1:16">
      <c r="A142" s="21"/>
      <c r="B142" s="172" t="s">
        <v>140</v>
      </c>
      <c r="C142" s="173"/>
      <c r="D142" s="109"/>
      <c r="E142" s="109"/>
      <c r="F142" s="109" t="s">
        <v>319</v>
      </c>
      <c r="G142" s="182"/>
      <c r="H142" s="183">
        <f t="shared" ref="H142:J142" si="42">H139+H131+H125</f>
        <v>-14.700000000000003</v>
      </c>
      <c r="I142" s="183">
        <f t="shared" si="42"/>
        <v>4.7000000000000028</v>
      </c>
      <c r="J142" s="183">
        <f t="shared" si="42"/>
        <v>-20.799999999999997</v>
      </c>
      <c r="K142" s="206"/>
      <c r="L142" s="206"/>
      <c r="M142" s="206"/>
      <c r="N142" s="206"/>
      <c r="O142" s="215"/>
    </row>
    <row r="143" spans="1:16">
      <c r="A143" s="21"/>
      <c r="B143" s="110" t="s">
        <v>141</v>
      </c>
      <c r="C143" s="17"/>
      <c r="F143" t="s">
        <v>320</v>
      </c>
      <c r="G143" s="65"/>
      <c r="H143" s="184">
        <v>31.1</v>
      </c>
      <c r="I143" s="207">
        <f t="shared" ref="I143:J143" si="43">+H144</f>
        <v>16.399999999999999</v>
      </c>
      <c r="J143" s="207">
        <f t="shared" si="43"/>
        <v>21.1</v>
      </c>
      <c r="K143" s="208"/>
      <c r="L143" s="208"/>
      <c r="M143" s="208"/>
      <c r="N143" s="208"/>
      <c r="O143" s="216"/>
    </row>
    <row r="144" spans="1:16">
      <c r="A144" s="21"/>
      <c r="B144" s="174" t="s">
        <v>142</v>
      </c>
      <c r="C144" s="102"/>
      <c r="D144" s="23"/>
      <c r="E144" s="23"/>
      <c r="F144" s="23" t="s">
        <v>321</v>
      </c>
      <c r="G144" s="115"/>
      <c r="H144" s="185">
        <f t="shared" ref="H144:J144" si="44">H143+H142</f>
        <v>16.399999999999999</v>
      </c>
      <c r="I144" s="185">
        <f t="shared" si="44"/>
        <v>21.1</v>
      </c>
      <c r="J144" s="185">
        <f t="shared" si="44"/>
        <v>0.30000000000000426</v>
      </c>
      <c r="K144" s="209"/>
      <c r="L144" s="209"/>
      <c r="M144" s="209"/>
      <c r="N144" s="209"/>
      <c r="O144" s="217"/>
    </row>
    <row r="145" spans="1:19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9">
      <c r="F146"/>
    </row>
    <row r="147" spans="1:19" ht="12.75" customHeight="1">
      <c r="A147" s="10"/>
      <c r="B147" s="11"/>
      <c r="C147" s="9"/>
      <c r="D147" s="9"/>
      <c r="E147" s="9"/>
      <c r="F147" s="31"/>
      <c r="G147" s="9"/>
      <c r="H147" s="9"/>
      <c r="I147" s="9"/>
      <c r="J147" s="9"/>
      <c r="K147" s="9"/>
      <c r="L147" s="9"/>
      <c r="M147" s="9"/>
      <c r="N147" s="9"/>
      <c r="O147" s="98" t="str">
        <f>$O$1</f>
        <v>Currently Running : Base Case Scenario</v>
      </c>
    </row>
    <row r="148" spans="1:19" ht="22.8">
      <c r="B148" s="11" t="str">
        <f>B$2</f>
        <v>Blu Containers Company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9" ht="17.399999999999999">
      <c r="B149" s="13" t="s">
        <v>143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9" ht="3" customHeight="1" thickBot="1">
      <c r="A150" s="12"/>
      <c r="B150" s="15"/>
      <c r="C150" s="16"/>
      <c r="D150" s="16"/>
      <c r="E150" s="16"/>
      <c r="F150" s="33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9">
      <c r="B151" s="555" t="s">
        <v>8</v>
      </c>
      <c r="F151"/>
      <c r="O151" s="18"/>
    </row>
    <row r="152" spans="1:19">
      <c r="F152"/>
      <c r="H152" s="186"/>
      <c r="I152" s="186"/>
      <c r="J152" s="186"/>
      <c r="K152" s="69" t="s">
        <v>7</v>
      </c>
      <c r="L152" s="70"/>
      <c r="M152" s="70"/>
      <c r="N152" s="70"/>
      <c r="O152" s="70"/>
    </row>
    <row r="153" spans="1:19">
      <c r="B153" s="113"/>
      <c r="F153" s="187"/>
      <c r="G153" s="139"/>
      <c r="H153" s="36">
        <f t="shared" ref="H153:O153" si="45">H$7</f>
        <v>2020</v>
      </c>
      <c r="I153" s="36">
        <f t="shared" si="45"/>
        <v>2021</v>
      </c>
      <c r="J153" s="36">
        <f t="shared" si="45"/>
        <v>2022</v>
      </c>
      <c r="K153" s="88">
        <f t="shared" si="45"/>
        <v>2023</v>
      </c>
      <c r="L153" s="88">
        <f t="shared" si="45"/>
        <v>2024</v>
      </c>
      <c r="M153" s="88">
        <f t="shared" si="45"/>
        <v>2025</v>
      </c>
      <c r="N153" s="88">
        <f t="shared" si="45"/>
        <v>2026</v>
      </c>
      <c r="O153" s="88">
        <f t="shared" si="45"/>
        <v>2027</v>
      </c>
    </row>
    <row r="154" spans="1:19">
      <c r="B154" s="113"/>
      <c r="F154"/>
      <c r="G154" s="139"/>
      <c r="H154" s="187"/>
      <c r="I154" s="187"/>
      <c r="J154" s="187"/>
      <c r="K154" s="187"/>
      <c r="L154" s="187"/>
      <c r="M154" s="187"/>
      <c r="N154" s="187"/>
      <c r="O154" s="187"/>
    </row>
    <row r="155" spans="1:19">
      <c r="B155" s="21" t="s">
        <v>144</v>
      </c>
      <c r="F155"/>
    </row>
    <row r="156" spans="1:19">
      <c r="C156" t="s">
        <v>145</v>
      </c>
      <c r="F156" s="38"/>
      <c r="G156" s="143"/>
      <c r="H156" s="178">
        <v>16.399999999999999</v>
      </c>
      <c r="I156" s="178">
        <v>21.1</v>
      </c>
      <c r="J156" s="178">
        <v>0.3</v>
      </c>
      <c r="K156" s="210"/>
      <c r="L156" s="210"/>
      <c r="M156" s="210"/>
      <c r="N156" s="210"/>
      <c r="O156" s="210"/>
      <c r="R156" s="130"/>
      <c r="S156" s="130"/>
    </row>
    <row r="157" spans="1:19">
      <c r="C157" t="s">
        <v>71</v>
      </c>
      <c r="F157" s="38"/>
      <c r="G157" s="143"/>
      <c r="H157" s="178">
        <v>27</v>
      </c>
      <c r="I157" s="178">
        <v>27.8</v>
      </c>
      <c r="J157" s="178">
        <v>28.3</v>
      </c>
      <c r="K157" s="163"/>
      <c r="L157" s="163"/>
      <c r="M157" s="163"/>
      <c r="N157" s="163"/>
      <c r="O157" s="163"/>
    </row>
    <row r="158" spans="1:19">
      <c r="C158" t="s">
        <v>146</v>
      </c>
      <c r="F158" s="38"/>
      <c r="G158" s="143"/>
      <c r="H158" s="178">
        <v>36.5</v>
      </c>
      <c r="I158" s="178">
        <v>36.1</v>
      </c>
      <c r="J158" s="178">
        <v>35.1</v>
      </c>
      <c r="K158" s="163"/>
      <c r="L158" s="163"/>
      <c r="M158" s="163"/>
      <c r="N158" s="163"/>
      <c r="O158" s="163"/>
    </row>
    <row r="159" spans="1:19">
      <c r="C159" t="s">
        <v>74</v>
      </c>
      <c r="F159" s="38"/>
      <c r="G159" s="188"/>
      <c r="H159" s="178">
        <v>14.6</v>
      </c>
      <c r="I159" s="178">
        <v>14.4</v>
      </c>
      <c r="J159" s="178">
        <v>14.9</v>
      </c>
      <c r="K159" s="163"/>
      <c r="L159" s="163"/>
      <c r="M159" s="163"/>
      <c r="N159" s="163"/>
      <c r="O159" s="163"/>
    </row>
    <row r="160" spans="1:19">
      <c r="C160" s="18" t="s">
        <v>52</v>
      </c>
      <c r="F160" s="38"/>
      <c r="G160" s="188"/>
      <c r="H160" s="127">
        <v>1.4</v>
      </c>
      <c r="I160" s="127">
        <v>1.8</v>
      </c>
      <c r="J160" s="127">
        <v>1.2</v>
      </c>
      <c r="K160" s="93"/>
      <c r="L160" s="93"/>
      <c r="M160" s="93"/>
      <c r="N160" s="93"/>
      <c r="O160" s="93"/>
    </row>
    <row r="161" spans="2:17">
      <c r="C161" s="554" t="s">
        <v>147</v>
      </c>
      <c r="F161" s="46"/>
      <c r="G161" s="62"/>
      <c r="H161" s="189">
        <f t="shared" ref="H161:J161" si="46">SUM(H156:H160)</f>
        <v>95.9</v>
      </c>
      <c r="I161" s="189">
        <f t="shared" si="46"/>
        <v>101.2</v>
      </c>
      <c r="J161" s="189">
        <f t="shared" si="46"/>
        <v>79.800000000000011</v>
      </c>
      <c r="K161" s="163"/>
      <c r="L161" s="163"/>
      <c r="M161" s="163"/>
      <c r="N161" s="163"/>
      <c r="O161" s="163"/>
    </row>
    <row r="162" spans="2:17">
      <c r="F162" s="62"/>
      <c r="G162" s="140"/>
      <c r="H162" s="62"/>
      <c r="I162" s="62"/>
      <c r="J162" s="211"/>
      <c r="K162" s="211"/>
      <c r="L162" s="211"/>
      <c r="M162" s="211"/>
      <c r="N162" s="211"/>
      <c r="O162" s="211"/>
      <c r="Q162" t="s">
        <v>323</v>
      </c>
    </row>
    <row r="163" spans="2:17">
      <c r="C163" t="s">
        <v>148</v>
      </c>
      <c r="F163" s="38"/>
      <c r="G163" s="188"/>
      <c r="H163" s="178">
        <v>398.5</v>
      </c>
      <c r="I163" s="178">
        <v>398</v>
      </c>
      <c r="J163" s="178">
        <v>397.7</v>
      </c>
      <c r="K163" s="163"/>
      <c r="L163" s="163"/>
      <c r="M163" s="163"/>
      <c r="N163" s="163"/>
      <c r="O163" s="163"/>
    </row>
    <row r="164" spans="2:17">
      <c r="C164" s="18" t="s">
        <v>52</v>
      </c>
      <c r="F164" s="38"/>
      <c r="G164" s="188"/>
      <c r="H164" s="127">
        <v>19</v>
      </c>
      <c r="I164" s="127">
        <v>15</v>
      </c>
      <c r="J164" s="127">
        <v>12</v>
      </c>
      <c r="K164" s="93"/>
      <c r="L164" s="93"/>
      <c r="M164" s="93"/>
      <c r="N164" s="93"/>
      <c r="O164" s="93"/>
    </row>
    <row r="165" spans="2:17">
      <c r="C165" s="17" t="s">
        <v>149</v>
      </c>
      <c r="F165" s="38"/>
      <c r="G165" s="188"/>
      <c r="H165" s="190">
        <f>SUM(H163:H164)</f>
        <v>417.5</v>
      </c>
      <c r="I165" s="190">
        <f t="shared" ref="I165:J165" si="47">SUM(I163:I164)</f>
        <v>413</v>
      </c>
      <c r="J165" s="190">
        <f t="shared" si="47"/>
        <v>409.7</v>
      </c>
      <c r="K165" s="212"/>
      <c r="L165" s="212"/>
      <c r="M165" s="212"/>
      <c r="N165" s="212"/>
      <c r="O165" s="212"/>
    </row>
    <row r="166" spans="2:17">
      <c r="C166" s="18"/>
      <c r="F166" s="38"/>
      <c r="G166" s="188"/>
      <c r="H166" s="178"/>
      <c r="I166" s="178"/>
      <c r="J166" s="178"/>
      <c r="K166" s="213"/>
      <c r="L166" s="213"/>
      <c r="M166" s="213"/>
      <c r="N166" s="213"/>
      <c r="O166" s="213"/>
    </row>
    <row r="167" spans="2:17" ht="13.8" thickBot="1">
      <c r="C167" s="21" t="s">
        <v>150</v>
      </c>
      <c r="F167" s="46"/>
      <c r="G167" s="65"/>
      <c r="H167" s="191">
        <f>+H161+H165</f>
        <v>513.4</v>
      </c>
      <c r="I167" s="191">
        <f t="shared" ref="I167:J167" si="48">+I161+I165</f>
        <v>514.20000000000005</v>
      </c>
      <c r="J167" s="191">
        <f t="shared" si="48"/>
        <v>489.5</v>
      </c>
      <c r="K167" s="96"/>
      <c r="L167" s="96"/>
      <c r="M167" s="96"/>
      <c r="N167" s="96"/>
      <c r="O167" s="96"/>
    </row>
    <row r="168" spans="2:17" ht="13.8" thickTop="1">
      <c r="F168" s="62"/>
      <c r="G168" s="140"/>
      <c r="H168" s="62"/>
      <c r="I168" s="62"/>
      <c r="J168" s="140"/>
      <c r="K168" s="140"/>
      <c r="L168" s="140"/>
      <c r="M168" s="140"/>
      <c r="N168" s="140"/>
      <c r="O168" s="140"/>
    </row>
    <row r="169" spans="2:17">
      <c r="F169" s="62"/>
      <c r="G169" s="140"/>
      <c r="H169" s="62"/>
      <c r="I169" s="62"/>
      <c r="J169" s="140"/>
      <c r="K169" s="140"/>
      <c r="L169" s="140"/>
      <c r="M169" s="140"/>
      <c r="N169" s="140"/>
      <c r="O169" s="140"/>
    </row>
    <row r="170" spans="2:17">
      <c r="B170" s="554" t="s">
        <v>151</v>
      </c>
      <c r="F170" s="62"/>
      <c r="G170" s="140"/>
      <c r="H170" s="62"/>
      <c r="I170" s="62"/>
      <c r="J170" s="140"/>
      <c r="K170" s="140"/>
      <c r="L170" s="140"/>
      <c r="M170" s="140"/>
      <c r="N170" s="140"/>
      <c r="O170" s="140"/>
    </row>
    <row r="171" spans="2:17">
      <c r="C171" s="18" t="s">
        <v>152</v>
      </c>
      <c r="F171" s="38"/>
      <c r="G171" s="143"/>
      <c r="H171" s="178">
        <v>0</v>
      </c>
      <c r="I171" s="178">
        <v>0</v>
      </c>
      <c r="J171" s="178">
        <v>0</v>
      </c>
      <c r="K171" s="163"/>
      <c r="L171" s="163"/>
      <c r="M171" s="163"/>
      <c r="N171" s="163"/>
      <c r="O171" s="163"/>
    </row>
    <row r="172" spans="2:17">
      <c r="C172" s="18" t="s">
        <v>76</v>
      </c>
      <c r="F172" s="38"/>
      <c r="G172" s="143"/>
      <c r="H172" s="192">
        <v>18.3</v>
      </c>
      <c r="I172" s="192">
        <v>18.7</v>
      </c>
      <c r="J172" s="192">
        <v>18.2</v>
      </c>
      <c r="K172" s="91"/>
      <c r="L172" s="91"/>
      <c r="M172" s="91"/>
      <c r="N172" s="91"/>
      <c r="O172" s="91"/>
    </row>
    <row r="173" spans="2:17">
      <c r="C173" s="18" t="s">
        <v>52</v>
      </c>
      <c r="F173" s="38"/>
      <c r="G173" s="188"/>
      <c r="H173" s="127">
        <v>4.7</v>
      </c>
      <c r="I173" s="127">
        <v>4.9000000000000004</v>
      </c>
      <c r="J173" s="127">
        <v>4.8</v>
      </c>
      <c r="K173" s="93"/>
      <c r="L173" s="93"/>
      <c r="M173" s="93"/>
      <c r="N173" s="93"/>
      <c r="O173" s="93"/>
    </row>
    <row r="174" spans="2:17">
      <c r="C174" s="554" t="s">
        <v>153</v>
      </c>
      <c r="F174" s="46"/>
      <c r="G174" s="62"/>
      <c r="H174" s="64">
        <f t="shared" ref="H174:J174" si="49">SUM(H171:H173)</f>
        <v>23</v>
      </c>
      <c r="I174" s="64">
        <f t="shared" si="49"/>
        <v>23.6</v>
      </c>
      <c r="J174" s="64">
        <f t="shared" si="49"/>
        <v>23</v>
      </c>
      <c r="K174" s="91"/>
      <c r="L174" s="91"/>
      <c r="M174" s="91"/>
      <c r="N174" s="91"/>
      <c r="O174" s="91"/>
    </row>
    <row r="175" spans="2:17">
      <c r="F175" s="62"/>
      <c r="G175" s="140"/>
      <c r="H175" s="62"/>
      <c r="I175" s="62"/>
      <c r="J175" s="140"/>
      <c r="K175" s="140"/>
      <c r="L175" s="140"/>
      <c r="M175" s="189"/>
      <c r="N175" s="140"/>
      <c r="O175" s="140"/>
    </row>
    <row r="176" spans="2:17">
      <c r="C176" t="s">
        <v>121</v>
      </c>
      <c r="F176" s="38"/>
      <c r="G176" s="140"/>
      <c r="H176" s="193">
        <v>0.7</v>
      </c>
      <c r="I176" s="193">
        <v>6.9</v>
      </c>
      <c r="J176" s="193">
        <v>8</v>
      </c>
      <c r="K176" s="163"/>
      <c r="L176" s="163"/>
      <c r="M176" s="163"/>
      <c r="N176" s="163"/>
      <c r="O176" s="163"/>
      <c r="Q176" t="s">
        <v>324</v>
      </c>
    </row>
    <row r="177" spans="1:15">
      <c r="C177" s="18" t="s">
        <v>154</v>
      </c>
      <c r="F177" s="38"/>
      <c r="G177" s="194"/>
      <c r="H177" s="127">
        <v>250</v>
      </c>
      <c r="I177" s="127">
        <v>225</v>
      </c>
      <c r="J177" s="127">
        <v>200</v>
      </c>
      <c r="K177" s="93"/>
      <c r="L177" s="93"/>
      <c r="M177" s="93"/>
      <c r="N177" s="93"/>
      <c r="O177" s="93"/>
    </row>
    <row r="178" spans="1:15">
      <c r="C178" s="17" t="s">
        <v>155</v>
      </c>
      <c r="F178" s="46"/>
      <c r="G178" s="143"/>
      <c r="H178" s="189">
        <f t="shared" ref="H178:J178" si="50">SUM(H176:H177)</f>
        <v>250.7</v>
      </c>
      <c r="I178" s="189">
        <f t="shared" si="50"/>
        <v>231.9</v>
      </c>
      <c r="J178" s="189">
        <f t="shared" si="50"/>
        <v>208</v>
      </c>
      <c r="K178" s="163"/>
      <c r="L178" s="163"/>
      <c r="M178" s="163"/>
      <c r="N178" s="163"/>
      <c r="O178" s="163"/>
    </row>
    <row r="179" spans="1:15">
      <c r="C179" s="17"/>
      <c r="F179" s="62"/>
      <c r="G179" s="140"/>
      <c r="H179" s="62"/>
      <c r="I179" s="62"/>
      <c r="J179" s="140"/>
      <c r="K179" s="140"/>
      <c r="L179" s="140"/>
      <c r="M179" s="140"/>
      <c r="N179" s="140"/>
      <c r="O179" s="140"/>
    </row>
    <row r="180" spans="1:15">
      <c r="C180" s="17" t="s">
        <v>156</v>
      </c>
      <c r="F180" s="46"/>
      <c r="G180" s="65"/>
      <c r="H180" s="61">
        <f t="shared" ref="H180:J180" si="51">H178+H174</f>
        <v>273.7</v>
      </c>
      <c r="I180" s="61">
        <f t="shared" si="51"/>
        <v>255.5</v>
      </c>
      <c r="J180" s="61">
        <f t="shared" si="51"/>
        <v>231</v>
      </c>
      <c r="K180" s="94"/>
      <c r="L180" s="94"/>
      <c r="M180" s="94"/>
      <c r="N180" s="94"/>
      <c r="O180" s="94"/>
    </row>
    <row r="181" spans="1:15">
      <c r="F181" s="62"/>
      <c r="G181" s="62"/>
      <c r="H181" s="62"/>
      <c r="I181" s="62"/>
      <c r="J181" s="140"/>
      <c r="K181" s="140"/>
      <c r="L181" s="140"/>
      <c r="M181" s="140"/>
      <c r="N181" s="140"/>
      <c r="O181" s="140"/>
    </row>
    <row r="182" spans="1:15">
      <c r="C182" t="s">
        <v>157</v>
      </c>
      <c r="F182" s="38"/>
      <c r="G182" s="62"/>
      <c r="H182" s="178">
        <v>120</v>
      </c>
      <c r="I182" s="178">
        <v>120</v>
      </c>
      <c r="J182" s="178">
        <v>120</v>
      </c>
      <c r="K182" s="163"/>
      <c r="L182" s="163"/>
      <c r="M182" s="163"/>
      <c r="N182" s="163"/>
      <c r="O182" s="163"/>
    </row>
    <row r="183" spans="1:15">
      <c r="C183" t="s">
        <v>158</v>
      </c>
      <c r="F183" s="38"/>
      <c r="G183" s="195"/>
      <c r="H183" s="127">
        <v>119.7</v>
      </c>
      <c r="I183" s="127">
        <v>138.69999999999999</v>
      </c>
      <c r="J183" s="127">
        <v>138.5</v>
      </c>
      <c r="K183" s="93"/>
      <c r="L183" s="93"/>
      <c r="M183" s="93"/>
      <c r="N183" s="93"/>
      <c r="O183" s="93"/>
    </row>
    <row r="184" spans="1:15">
      <c r="C184" s="554" t="s">
        <v>159</v>
      </c>
      <c r="F184" s="46"/>
      <c r="G184" s="143"/>
      <c r="H184" s="145">
        <f>SUM(H182:H183)</f>
        <v>239.7</v>
      </c>
      <c r="I184" s="145">
        <f>SUM(I182:I183)</f>
        <v>258.7</v>
      </c>
      <c r="J184" s="145">
        <f t="shared" ref="J184" si="52">SUM(J182:J183)</f>
        <v>258.5</v>
      </c>
      <c r="K184" s="165"/>
      <c r="L184" s="165"/>
      <c r="M184" s="165"/>
      <c r="N184" s="165"/>
      <c r="O184" s="165"/>
    </row>
    <row r="185" spans="1:15">
      <c r="F185" s="62"/>
      <c r="G185" s="62"/>
      <c r="H185" s="140"/>
      <c r="I185" s="140"/>
      <c r="J185" s="140"/>
      <c r="K185" s="140"/>
      <c r="L185" s="140"/>
      <c r="M185" s="140"/>
      <c r="N185" s="140"/>
      <c r="O185" s="140"/>
    </row>
    <row r="186" spans="1:15" ht="13.8" thickBot="1">
      <c r="B186" s="554" t="s">
        <v>160</v>
      </c>
      <c r="F186" s="46"/>
      <c r="G186" s="65"/>
      <c r="H186" s="191">
        <f>H184+H180</f>
        <v>513.4</v>
      </c>
      <c r="I186" s="191">
        <f>I184+I180</f>
        <v>514.20000000000005</v>
      </c>
      <c r="J186" s="191">
        <f t="shared" ref="J186" si="53">J184+J180</f>
        <v>489.5</v>
      </c>
      <c r="K186" s="96"/>
      <c r="L186" s="96"/>
      <c r="M186" s="96"/>
      <c r="N186" s="96"/>
      <c r="O186" s="96"/>
    </row>
    <row r="187" spans="1:15" ht="13.8" thickTop="1">
      <c r="F187" s="196"/>
      <c r="G187" s="196"/>
      <c r="H187" s="197"/>
      <c r="I187" s="197"/>
      <c r="J187" s="197"/>
      <c r="K187" s="197"/>
      <c r="L187" s="197"/>
      <c r="M187" s="197"/>
      <c r="N187" s="197"/>
      <c r="O187" s="197"/>
    </row>
    <row r="188" spans="1:15">
      <c r="B188" s="113"/>
      <c r="D188" s="104" t="s">
        <v>161</v>
      </c>
      <c r="F188" s="198"/>
      <c r="G188" s="198"/>
      <c r="H188" s="199">
        <f>ROUND(H167-H186,3)</f>
        <v>0</v>
      </c>
      <c r="I188" s="199">
        <f t="shared" ref="I188:O188" si="54">ROUND(I167-I186,3)</f>
        <v>0</v>
      </c>
      <c r="J188" s="199">
        <f t="shared" si="54"/>
        <v>0</v>
      </c>
      <c r="K188" s="199">
        <f t="shared" si="54"/>
        <v>0</v>
      </c>
      <c r="L188" s="199">
        <f t="shared" si="54"/>
        <v>0</v>
      </c>
      <c r="M188" s="199">
        <f t="shared" si="54"/>
        <v>0</v>
      </c>
      <c r="N188" s="199">
        <f t="shared" si="54"/>
        <v>0</v>
      </c>
      <c r="O188" s="199">
        <f t="shared" si="54"/>
        <v>0</v>
      </c>
    </row>
    <row r="189" spans="1:15">
      <c r="B189" s="175"/>
      <c r="C189" s="23"/>
      <c r="D189" s="23"/>
      <c r="E189" s="23"/>
      <c r="F189" s="23"/>
      <c r="G189" s="23"/>
      <c r="H189" s="23"/>
      <c r="I189" s="23"/>
      <c r="J189" s="23"/>
      <c r="K189" s="214"/>
      <c r="L189" s="214"/>
      <c r="M189" s="214"/>
      <c r="N189" s="214"/>
      <c r="O189" s="214"/>
    </row>
    <row r="190" spans="1:15">
      <c r="F190"/>
    </row>
    <row r="191" spans="1:15" ht="12.75" customHeight="1">
      <c r="A191" s="10"/>
      <c r="B191" s="11"/>
      <c r="C191" s="9"/>
      <c r="D191" s="9"/>
      <c r="E191" s="9"/>
      <c r="F191" s="31"/>
      <c r="G191" s="9"/>
      <c r="H191" s="9"/>
      <c r="I191" s="9"/>
      <c r="J191" s="9"/>
      <c r="K191" s="9"/>
      <c r="L191" s="9"/>
      <c r="M191" s="9"/>
      <c r="N191" s="9"/>
      <c r="O191" s="98" t="str">
        <f>$O$1</f>
        <v>Currently Running : Base Case Scenario</v>
      </c>
    </row>
    <row r="192" spans="1:15" ht="22.65" customHeight="1">
      <c r="B192" s="176" t="str">
        <f>B$2</f>
        <v>Blu Containers Company</v>
      </c>
      <c r="C192" s="177"/>
      <c r="D192" s="177"/>
      <c r="E192" s="200"/>
      <c r="F192" s="200"/>
      <c r="G192" s="201"/>
      <c r="H192" s="201"/>
      <c r="I192" s="201"/>
      <c r="J192" s="201"/>
      <c r="K192" s="201"/>
      <c r="L192" s="201"/>
      <c r="M192" s="201"/>
      <c r="N192" s="201"/>
      <c r="O192" s="201"/>
    </row>
    <row r="193" spans="1:243" ht="17.399999999999999">
      <c r="B193" s="13" t="s">
        <v>162</v>
      </c>
      <c r="C193" s="13"/>
      <c r="D193" s="13"/>
      <c r="E193" s="235"/>
      <c r="F193" s="235"/>
      <c r="G193" s="13"/>
      <c r="H193" s="13"/>
      <c r="I193" s="13"/>
      <c r="J193" s="13"/>
      <c r="K193" s="13"/>
      <c r="L193" s="13"/>
      <c r="M193" s="13"/>
      <c r="N193" s="13"/>
      <c r="O193" s="13"/>
    </row>
    <row r="194" spans="1:243" ht="3" customHeight="1" thickBot="1">
      <c r="A194" s="12"/>
      <c r="B194" s="15"/>
      <c r="C194" s="16"/>
      <c r="D194" s="16"/>
      <c r="E194" s="16"/>
      <c r="F194" s="33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243">
      <c r="B195" s="555" t="s">
        <v>8</v>
      </c>
      <c r="C195" s="113"/>
      <c r="E195" s="6"/>
      <c r="G195" s="113"/>
    </row>
    <row r="196" spans="1:243">
      <c r="E196" s="6"/>
      <c r="K196" s="69" t="s">
        <v>7</v>
      </c>
      <c r="L196" s="266"/>
      <c r="M196" s="266"/>
      <c r="N196" s="266"/>
      <c r="O196" s="266"/>
    </row>
    <row r="197" spans="1:243">
      <c r="C197" s="21"/>
      <c r="D197" s="21"/>
      <c r="E197" s="60"/>
      <c r="F197" s="236"/>
      <c r="G197" s="187"/>
      <c r="H197" s="36">
        <f t="shared" ref="H197:O197" si="55">H$7</f>
        <v>2020</v>
      </c>
      <c r="I197" s="36">
        <f t="shared" si="55"/>
        <v>2021</v>
      </c>
      <c r="J197" s="36">
        <f t="shared" si="55"/>
        <v>2022</v>
      </c>
      <c r="K197" s="267">
        <f t="shared" si="55"/>
        <v>2023</v>
      </c>
      <c r="L197" s="267">
        <f t="shared" si="55"/>
        <v>2024</v>
      </c>
      <c r="M197" s="267">
        <f t="shared" si="55"/>
        <v>2025</v>
      </c>
      <c r="N197" s="267">
        <f t="shared" si="55"/>
        <v>2026</v>
      </c>
      <c r="O197" s="267">
        <f t="shared" si="55"/>
        <v>2027</v>
      </c>
    </row>
    <row r="198" spans="1:243">
      <c r="C198" s="596" t="s">
        <v>267</v>
      </c>
      <c r="D198" s="596"/>
      <c r="E198" s="596"/>
    </row>
    <row r="199" spans="1:243" ht="13.35" customHeight="1">
      <c r="A199" s="218"/>
      <c r="B199" s="219" t="s">
        <v>163</v>
      </c>
      <c r="C199" s="109"/>
      <c r="D199" s="109"/>
      <c r="E199" s="109"/>
      <c r="F199" s="237">
        <f>Assumptions!H39</f>
        <v>25</v>
      </c>
      <c r="K199" s="268"/>
      <c r="L199" s="243"/>
      <c r="M199" s="243"/>
      <c r="N199" s="243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  <c r="AN199" s="282"/>
      <c r="AO199" s="282"/>
      <c r="AP199" s="282"/>
      <c r="AQ199" s="282"/>
      <c r="AR199" s="282"/>
      <c r="AS199" s="282"/>
      <c r="AT199" s="282"/>
      <c r="AU199" s="282"/>
      <c r="AV199" s="282"/>
      <c r="AW199" s="282"/>
      <c r="AX199" s="282"/>
      <c r="AY199" s="282"/>
      <c r="AZ199" s="282"/>
      <c r="BA199" s="282"/>
      <c r="BB199" s="282"/>
      <c r="BC199" s="282"/>
      <c r="BD199" s="282"/>
      <c r="BE199" s="282"/>
      <c r="BF199" s="282"/>
      <c r="BG199" s="282"/>
      <c r="BH199" s="282"/>
      <c r="BI199" s="282"/>
      <c r="BJ199" s="282"/>
      <c r="BK199" s="282"/>
      <c r="BL199" s="282"/>
      <c r="BM199" s="282"/>
      <c r="BN199" s="282"/>
      <c r="BO199" s="282"/>
      <c r="BP199" s="282"/>
      <c r="BQ199" s="282"/>
      <c r="BR199" s="282"/>
      <c r="BS199" s="282"/>
      <c r="BT199" s="282"/>
      <c r="BU199" s="282"/>
      <c r="BV199" s="282"/>
      <c r="BW199" s="282"/>
      <c r="BX199" s="282"/>
      <c r="BY199" s="282"/>
      <c r="BZ199" s="282"/>
      <c r="CA199" s="282"/>
      <c r="CB199" s="282"/>
      <c r="CC199" s="282"/>
      <c r="CD199" s="282"/>
      <c r="CE199" s="282"/>
      <c r="CF199" s="282"/>
      <c r="CG199" s="282"/>
      <c r="CH199" s="282"/>
      <c r="CI199" s="282"/>
      <c r="CJ199" s="282"/>
      <c r="CK199" s="282"/>
      <c r="CL199" s="282"/>
      <c r="CM199" s="282"/>
      <c r="CN199" s="282"/>
      <c r="CO199" s="282"/>
      <c r="CP199" s="282"/>
      <c r="CQ199" s="282"/>
      <c r="CR199" s="282"/>
      <c r="CS199" s="282"/>
      <c r="CT199" s="282"/>
      <c r="CU199" s="282"/>
      <c r="CV199" s="282"/>
      <c r="CW199" s="282"/>
      <c r="CX199" s="282"/>
      <c r="CY199" s="282"/>
      <c r="CZ199" s="282"/>
      <c r="DA199" s="282"/>
      <c r="DB199" s="282"/>
      <c r="DC199" s="282"/>
      <c r="DD199" s="282"/>
      <c r="DE199" s="282"/>
      <c r="DF199" s="282"/>
      <c r="DG199" s="282"/>
      <c r="DH199" s="282"/>
      <c r="DI199" s="282"/>
      <c r="DJ199" s="282"/>
      <c r="DK199" s="282"/>
      <c r="DL199" s="282"/>
      <c r="DM199" s="282"/>
      <c r="DN199" s="282"/>
      <c r="DO199" s="282"/>
      <c r="DP199" s="282"/>
      <c r="DQ199" s="282"/>
      <c r="DR199" s="282"/>
      <c r="DS199" s="282"/>
      <c r="DT199" s="282"/>
      <c r="DU199" s="282"/>
      <c r="DV199" s="282"/>
      <c r="DW199" s="282"/>
      <c r="DX199" s="282"/>
      <c r="DY199" s="282"/>
      <c r="DZ199" s="282"/>
      <c r="EA199" s="282"/>
      <c r="EB199" s="282"/>
      <c r="EC199" s="282"/>
      <c r="ED199" s="282"/>
      <c r="EE199" s="282"/>
      <c r="EF199" s="282"/>
      <c r="EG199" s="282"/>
      <c r="EH199" s="282"/>
      <c r="EI199" s="282"/>
      <c r="EJ199" s="282"/>
      <c r="EK199" s="282"/>
      <c r="EL199" s="282"/>
      <c r="EM199" s="282"/>
      <c r="EN199" s="282"/>
      <c r="EO199" s="282"/>
      <c r="EP199" s="282"/>
      <c r="EQ199" s="282"/>
      <c r="ER199" s="282"/>
      <c r="ES199" s="282"/>
      <c r="ET199" s="282"/>
      <c r="EU199" s="282"/>
      <c r="EV199" s="282"/>
      <c r="EW199" s="282"/>
      <c r="EX199" s="282"/>
      <c r="EY199" s="282"/>
      <c r="EZ199" s="282"/>
      <c r="FA199" s="282"/>
      <c r="FB199" s="282"/>
      <c r="FC199" s="282"/>
      <c r="FD199" s="282"/>
      <c r="FE199" s="282"/>
      <c r="FF199" s="282"/>
      <c r="FG199" s="282"/>
      <c r="FH199" s="282"/>
      <c r="FI199" s="282"/>
      <c r="FJ199" s="282"/>
      <c r="FK199" s="282"/>
      <c r="FL199" s="282"/>
      <c r="FM199" s="282"/>
      <c r="FN199" s="282"/>
      <c r="FO199" s="282"/>
      <c r="FP199" s="282"/>
      <c r="FQ199" s="282"/>
      <c r="FR199" s="282"/>
      <c r="FS199" s="282"/>
      <c r="FT199" s="282"/>
      <c r="FU199" s="282"/>
      <c r="FV199" s="282"/>
      <c r="FW199" s="282"/>
      <c r="FX199" s="282"/>
      <c r="FY199" s="282"/>
      <c r="FZ199" s="282"/>
      <c r="GA199" s="282"/>
      <c r="GB199" s="282"/>
      <c r="GC199" s="282"/>
      <c r="GD199" s="282"/>
      <c r="GE199" s="282"/>
      <c r="GF199" s="282"/>
      <c r="GG199" s="282"/>
      <c r="GH199" s="282"/>
      <c r="GI199" s="282"/>
      <c r="GJ199" s="282"/>
      <c r="GK199" s="282"/>
      <c r="GL199" s="282"/>
      <c r="GM199" s="282"/>
      <c r="GN199" s="282"/>
      <c r="GO199" s="282"/>
      <c r="GP199" s="282"/>
      <c r="GQ199" s="282"/>
      <c r="GR199" s="282"/>
      <c r="GS199" s="282"/>
      <c r="GT199" s="282"/>
      <c r="GU199" s="282"/>
      <c r="GV199" s="282"/>
      <c r="GW199" s="282"/>
      <c r="GX199" s="282"/>
      <c r="GY199" s="282"/>
      <c r="GZ199" s="282"/>
      <c r="HA199" s="282"/>
      <c r="HB199" s="282"/>
      <c r="HC199" s="282"/>
      <c r="HD199" s="282"/>
      <c r="HE199" s="282"/>
      <c r="HF199" s="282"/>
      <c r="HG199" s="282"/>
      <c r="HH199" s="282"/>
      <c r="HI199" s="282"/>
      <c r="HJ199" s="282"/>
      <c r="HK199" s="282"/>
      <c r="HL199" s="282"/>
      <c r="HM199" s="282"/>
      <c r="HN199" s="282"/>
      <c r="HO199" s="282"/>
      <c r="HP199" s="282"/>
      <c r="HQ199" s="282"/>
      <c r="HR199" s="282"/>
      <c r="HS199" s="282"/>
      <c r="HT199" s="282"/>
      <c r="HU199" s="282"/>
      <c r="HV199" s="282"/>
      <c r="HW199" s="282"/>
      <c r="HX199" s="282"/>
      <c r="HY199" s="282"/>
      <c r="HZ199" s="282"/>
      <c r="IA199" s="282"/>
      <c r="IB199" s="282"/>
      <c r="IC199" s="282"/>
      <c r="ID199" s="282"/>
      <c r="IE199" s="282"/>
      <c r="IF199" s="282"/>
      <c r="IG199" s="282"/>
      <c r="IH199" s="282"/>
      <c r="II199" s="282"/>
    </row>
    <row r="200" spans="1:243" ht="13.35" customHeight="1">
      <c r="A200" s="218"/>
      <c r="B200" s="220" t="s">
        <v>268</v>
      </c>
      <c r="C200" s="23"/>
      <c r="D200" s="221"/>
      <c r="E200" s="238"/>
      <c r="F200" s="597">
        <v>0.5</v>
      </c>
      <c r="I200" s="593" t="s">
        <v>264</v>
      </c>
      <c r="K200" s="268"/>
      <c r="L200" s="243"/>
      <c r="M200" s="243"/>
      <c r="N200" s="243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282"/>
      <c r="AW200" s="282"/>
      <c r="AX200" s="282"/>
      <c r="AY200" s="282"/>
      <c r="AZ200" s="282"/>
      <c r="BA200" s="282"/>
      <c r="BB200" s="282"/>
      <c r="BC200" s="282"/>
      <c r="BD200" s="282"/>
      <c r="BE200" s="282"/>
      <c r="BF200" s="282"/>
      <c r="BG200" s="282"/>
      <c r="BH200" s="282"/>
      <c r="BI200" s="282"/>
      <c r="BJ200" s="282"/>
      <c r="BK200" s="282"/>
      <c r="BL200" s="282"/>
      <c r="BM200" s="282"/>
      <c r="BN200" s="282"/>
      <c r="BO200" s="282"/>
      <c r="BP200" s="282"/>
      <c r="BQ200" s="282"/>
      <c r="BR200" s="282"/>
      <c r="BS200" s="282"/>
      <c r="BT200" s="282"/>
      <c r="BU200" s="282"/>
      <c r="BV200" s="282"/>
      <c r="BW200" s="282"/>
      <c r="BX200" s="282"/>
      <c r="BY200" s="282"/>
      <c r="BZ200" s="282"/>
      <c r="CA200" s="282"/>
      <c r="CB200" s="282"/>
      <c r="CC200" s="282"/>
      <c r="CD200" s="282"/>
      <c r="CE200" s="282"/>
      <c r="CF200" s="282"/>
      <c r="CG200" s="282"/>
      <c r="CH200" s="282"/>
      <c r="CI200" s="282"/>
      <c r="CJ200" s="282"/>
      <c r="CK200" s="282"/>
      <c r="CL200" s="282"/>
      <c r="CM200" s="282"/>
      <c r="CN200" s="282"/>
      <c r="CO200" s="282"/>
      <c r="CP200" s="282"/>
      <c r="CQ200" s="282"/>
      <c r="CR200" s="282"/>
      <c r="CS200" s="282"/>
      <c r="CT200" s="282"/>
      <c r="CU200" s="282"/>
      <c r="CV200" s="282"/>
      <c r="CW200" s="282"/>
      <c r="CX200" s="282"/>
      <c r="CY200" s="282"/>
      <c r="CZ200" s="282"/>
      <c r="DA200" s="282"/>
      <c r="DB200" s="282"/>
      <c r="DC200" s="282"/>
      <c r="DD200" s="282"/>
      <c r="DE200" s="282"/>
      <c r="DF200" s="282"/>
      <c r="DG200" s="282"/>
      <c r="DH200" s="282"/>
      <c r="DI200" s="282"/>
      <c r="DJ200" s="282"/>
      <c r="DK200" s="282"/>
      <c r="DL200" s="282"/>
      <c r="DM200" s="282"/>
      <c r="DN200" s="282"/>
      <c r="DO200" s="282"/>
      <c r="DP200" s="282"/>
      <c r="DQ200" s="282"/>
      <c r="DR200" s="282"/>
      <c r="DS200" s="282"/>
      <c r="DT200" s="282"/>
      <c r="DU200" s="282"/>
      <c r="DV200" s="282"/>
      <c r="DW200" s="282"/>
      <c r="DX200" s="282"/>
      <c r="DY200" s="282"/>
      <c r="DZ200" s="282"/>
      <c r="EA200" s="282"/>
      <c r="EB200" s="282"/>
      <c r="EC200" s="282"/>
      <c r="ED200" s="282"/>
      <c r="EE200" s="282"/>
      <c r="EF200" s="282"/>
      <c r="EG200" s="282"/>
      <c r="EH200" s="282"/>
      <c r="EI200" s="282"/>
      <c r="EJ200" s="282"/>
      <c r="EK200" s="282"/>
      <c r="EL200" s="282"/>
      <c r="EM200" s="282"/>
      <c r="EN200" s="282"/>
      <c r="EO200" s="282"/>
      <c r="EP200" s="282"/>
      <c r="EQ200" s="282"/>
      <c r="ER200" s="282"/>
      <c r="ES200" s="282"/>
      <c r="ET200" s="282"/>
      <c r="EU200" s="282"/>
      <c r="EV200" s="282"/>
      <c r="EW200" s="282"/>
      <c r="EX200" s="282"/>
      <c r="EY200" s="282"/>
      <c r="EZ200" s="282"/>
      <c r="FA200" s="282"/>
      <c r="FB200" s="282"/>
      <c r="FC200" s="282"/>
      <c r="FD200" s="282"/>
      <c r="FE200" s="282"/>
      <c r="FF200" s="282"/>
      <c r="FG200" s="282"/>
      <c r="FH200" s="282"/>
      <c r="FI200" s="282"/>
      <c r="FJ200" s="282"/>
      <c r="FK200" s="282"/>
      <c r="FL200" s="282"/>
      <c r="FM200" s="282"/>
      <c r="FN200" s="282"/>
      <c r="FO200" s="282"/>
      <c r="FP200" s="282"/>
      <c r="FQ200" s="282"/>
      <c r="FR200" s="282"/>
      <c r="FS200" s="282"/>
      <c r="FT200" s="282"/>
      <c r="FU200" s="282"/>
      <c r="FV200" s="282"/>
      <c r="FW200" s="282"/>
      <c r="FX200" s="282"/>
      <c r="FY200" s="282"/>
      <c r="FZ200" s="282"/>
      <c r="GA200" s="282"/>
      <c r="GB200" s="282"/>
      <c r="GC200" s="282"/>
      <c r="GD200" s="282"/>
      <c r="GE200" s="282"/>
      <c r="GF200" s="282"/>
      <c r="GG200" s="282"/>
      <c r="GH200" s="282"/>
      <c r="GI200" s="282"/>
      <c r="GJ200" s="282"/>
      <c r="GK200" s="282"/>
      <c r="GL200" s="282"/>
      <c r="GM200" s="282"/>
      <c r="GN200" s="282"/>
      <c r="GO200" s="282"/>
      <c r="GP200" s="282"/>
      <c r="GQ200" s="282"/>
      <c r="GR200" s="282"/>
      <c r="GS200" s="282"/>
      <c r="GT200" s="282"/>
      <c r="GU200" s="282"/>
      <c r="GV200" s="282"/>
      <c r="GW200" s="282"/>
      <c r="GX200" s="282"/>
      <c r="GY200" s="282"/>
      <c r="GZ200" s="282"/>
      <c r="HA200" s="282"/>
      <c r="HB200" s="282"/>
      <c r="HC200" s="282"/>
      <c r="HD200" s="282"/>
      <c r="HE200" s="282"/>
      <c r="HF200" s="282"/>
      <c r="HG200" s="282"/>
      <c r="HH200" s="282"/>
      <c r="HI200" s="282"/>
      <c r="HJ200" s="282"/>
      <c r="HK200" s="282"/>
      <c r="HL200" s="282"/>
      <c r="HM200" s="282"/>
      <c r="HN200" s="282"/>
      <c r="HO200" s="282"/>
      <c r="HP200" s="282"/>
      <c r="HQ200" s="282"/>
      <c r="HR200" s="282"/>
      <c r="HS200" s="282"/>
      <c r="HT200" s="282"/>
      <c r="HU200" s="282"/>
      <c r="HV200" s="282"/>
      <c r="HW200" s="282"/>
      <c r="HX200" s="282"/>
      <c r="HY200" s="282"/>
      <c r="HZ200" s="282"/>
      <c r="IA200" s="282"/>
      <c r="IB200" s="282"/>
      <c r="IC200" s="282"/>
      <c r="ID200" s="282"/>
      <c r="IE200" s="282"/>
      <c r="IF200" s="282"/>
      <c r="IG200" s="282"/>
      <c r="IH200" s="282"/>
      <c r="II200" s="282"/>
    </row>
    <row r="201" spans="1:243" ht="12.75" customHeight="1">
      <c r="F201"/>
      <c r="K201" s="269"/>
    </row>
    <row r="202" spans="1:243">
      <c r="A202" s="569">
        <v>1</v>
      </c>
      <c r="D202" t="s">
        <v>165</v>
      </c>
      <c r="F202"/>
      <c r="H202" s="240"/>
      <c r="I202" s="240"/>
      <c r="J202" s="240"/>
      <c r="K202" s="270">
        <f>J163/F199</f>
        <v>15.907999999999999</v>
      </c>
      <c r="L202" s="271">
        <f>K202</f>
        <v>15.907999999999999</v>
      </c>
      <c r="M202" s="271">
        <f>L202</f>
        <v>15.907999999999999</v>
      </c>
      <c r="N202" s="271">
        <f>M202</f>
        <v>15.907999999999999</v>
      </c>
      <c r="O202" s="271">
        <f>N202</f>
        <v>15.907999999999999</v>
      </c>
    </row>
    <row r="203" spans="1:243">
      <c r="F203"/>
    </row>
    <row r="204" spans="1:243">
      <c r="A204" s="569">
        <v>2</v>
      </c>
      <c r="D204" s="222" t="s">
        <v>132</v>
      </c>
      <c r="F204"/>
      <c r="J204" s="595" t="s">
        <v>265</v>
      </c>
      <c r="K204" s="596"/>
      <c r="L204" s="596"/>
      <c r="M204" s="596"/>
      <c r="N204" s="596"/>
      <c r="O204" s="596"/>
      <c r="P204" s="596"/>
    </row>
    <row r="205" spans="1:243">
      <c r="D205" s="223">
        <f>K197</f>
        <v>2023</v>
      </c>
      <c r="E205" s="241">
        <f>-HLOOKUP(D205,K$119:O$129,ROWS(K$119:O$129),FALSE)</f>
        <v>16</v>
      </c>
      <c r="F205" s="242"/>
      <c r="H205" s="594" t="s">
        <v>266</v>
      </c>
      <c r="I205" s="243"/>
      <c r="J205" s="243"/>
      <c r="K205" s="272">
        <f>IF(K$197=$D205,$E205*$F$200/2,($E205-SUM($J205:J205))*$F$200)</f>
        <v>4</v>
      </c>
      <c r="L205" s="272">
        <f>IF(L$197=$D205,$E205*$F$200/2,($E205-SUM($J205:K205))*$F$200)</f>
        <v>6</v>
      </c>
      <c r="M205" s="272">
        <f>IF(M$197=$D205,$E205*$F$200/2,($E205-SUM($J205:L205))*$F$200)</f>
        <v>3</v>
      </c>
      <c r="N205" s="272">
        <f>IF(N$197=$D205,$E205*$F$200/2,($E205-SUM($J205:M205))*$F$200)</f>
        <v>1.5</v>
      </c>
      <c r="O205" s="272">
        <f>IF(O$197=$D205,$E205*$F$200/2,($E205-SUM($J205:N205))*$F$200)</f>
        <v>0.75</v>
      </c>
    </row>
    <row r="206" spans="1:243">
      <c r="D206" s="223">
        <f>D205+1</f>
        <v>2024</v>
      </c>
      <c r="E206" s="244">
        <f>-_xlfn.XLOOKUP(D206,K119:O119,K129:O129,,0)</f>
        <v>17</v>
      </c>
      <c r="F206" s="242"/>
      <c r="H206" s="243">
        <f>ROWS(E205:E209)</f>
        <v>5</v>
      </c>
      <c r="I206" s="243"/>
      <c r="J206" s="243"/>
      <c r="K206" s="273"/>
      <c r="L206" s="272">
        <f>IF(L$197=$D206,$E206*$F$200/2,($E206-SUM($J206:K206))*$F$200)</f>
        <v>4.25</v>
      </c>
      <c r="M206" s="272">
        <f>IF(M$197=$D206,$E206*$F$200/2,($E206-SUM($J206:L206))*$F$200)</f>
        <v>6.375</v>
      </c>
      <c r="N206" s="272">
        <f>IF(N$197=$D206,$E206*$F$200/2,($E206-SUM($J206:M206))*$F$200)</f>
        <v>3.1875</v>
      </c>
      <c r="O206" s="272">
        <f>IF(O$197=$D206,$E206*$F$200/2,($E206-SUM($J206:N206))*$F$200)</f>
        <v>1.59375</v>
      </c>
    </row>
    <row r="207" spans="1:243">
      <c r="D207" s="223">
        <f>D206+1</f>
        <v>2025</v>
      </c>
      <c r="E207" s="244">
        <f>-SUMIF(K$119:O$119,D207,K$129:O$129)</f>
        <v>17.3</v>
      </c>
      <c r="F207" s="242"/>
      <c r="H207" s="101"/>
      <c r="I207" s="101"/>
      <c r="J207" s="101"/>
      <c r="K207" s="273"/>
      <c r="L207" s="273"/>
      <c r="M207" s="272">
        <f>IF(M$197=$D207,$E207*$F$200/2,($E207-SUM($J207:L207))*$F$200)</f>
        <v>4.3250000000000002</v>
      </c>
      <c r="N207" s="272">
        <f>IF(N$197=$D207,$E207*$F$200/2,($E207-SUM($J207:M207))*$F$200)</f>
        <v>6.4875000000000007</v>
      </c>
      <c r="O207" s="272">
        <f>IF(O$197=$D207,$E207*$F$200/2,($E207-SUM($J207:N207))*$F$200)</f>
        <v>3.2437500000000004</v>
      </c>
    </row>
    <row r="208" spans="1:243">
      <c r="D208" s="223">
        <f>D207+1</f>
        <v>2026</v>
      </c>
      <c r="E208" s="244">
        <f t="shared" ref="E208:E209" si="56">-SUMIF(K$119:O$119,D208,K$129:O$129)</f>
        <v>17.5</v>
      </c>
      <c r="F208" s="242"/>
      <c r="H208" s="101"/>
      <c r="I208" s="101"/>
      <c r="J208" s="101"/>
      <c r="K208" s="130"/>
      <c r="L208" s="273"/>
      <c r="M208" s="273"/>
      <c r="N208" s="272">
        <f>IF(N$197=$D208,$E208*$F$200/2,($E208-SUM($J208:M208))*$F$200)</f>
        <v>4.375</v>
      </c>
      <c r="O208" s="272">
        <f>IF(O$197=$D208,$E208*$F$200/2,($E208-SUM($J208:N208))*$F$200)</f>
        <v>6.5625</v>
      </c>
    </row>
    <row r="209" spans="1:15">
      <c r="D209" s="223">
        <f>D208+1</f>
        <v>2027</v>
      </c>
      <c r="E209" s="245">
        <f t="shared" si="56"/>
        <v>18</v>
      </c>
      <c r="F209" s="242"/>
      <c r="H209" s="101"/>
      <c r="I209" s="101"/>
      <c r="J209" s="101"/>
      <c r="K209" s="130"/>
      <c r="L209" s="130"/>
      <c r="M209" s="273"/>
      <c r="N209" s="273"/>
      <c r="O209" s="272">
        <f>IF(O$197=$D209,$E209*$F$200/2,($E209-SUM($J209:N209))*$F$200)</f>
        <v>4.5</v>
      </c>
    </row>
    <row r="211" spans="1:15" ht="13.8" thickBot="1">
      <c r="D211" s="224" t="s">
        <v>166</v>
      </c>
      <c r="H211" s="246"/>
      <c r="I211" s="246"/>
      <c r="J211" s="246"/>
      <c r="K211" s="274">
        <f>SUM(K202,K205:K210)</f>
        <v>19.908000000000001</v>
      </c>
      <c r="L211" s="274">
        <f t="shared" ref="L211:O211" si="57">SUM(L202,L205:L210)</f>
        <v>26.158000000000001</v>
      </c>
      <c r="M211" s="274">
        <f t="shared" si="57"/>
        <v>29.608000000000001</v>
      </c>
      <c r="N211" s="274">
        <f t="shared" si="57"/>
        <v>31.458000000000002</v>
      </c>
      <c r="O211" s="274">
        <f t="shared" si="57"/>
        <v>32.558</v>
      </c>
    </row>
    <row r="212" spans="1:15" ht="13.8" thickTop="1">
      <c r="B212" s="23"/>
      <c r="C212" s="23"/>
      <c r="D212" s="23"/>
      <c r="E212" s="23"/>
      <c r="F212" s="53"/>
      <c r="G212" s="23"/>
      <c r="H212" s="247"/>
      <c r="I212" s="247"/>
      <c r="J212" s="247"/>
      <c r="K212" s="247"/>
      <c r="L212" s="247"/>
      <c r="M212" s="247"/>
      <c r="N212" s="247"/>
      <c r="O212" s="23"/>
    </row>
    <row r="213" spans="1:15">
      <c r="F213"/>
    </row>
    <row r="214" spans="1:15" ht="12.75" customHeight="1">
      <c r="A214" s="10"/>
      <c r="B214" s="11"/>
      <c r="C214" s="9"/>
      <c r="D214" s="9"/>
      <c r="E214" s="9"/>
      <c r="F214" s="31"/>
      <c r="G214" s="9"/>
      <c r="H214" s="9"/>
      <c r="I214" s="9"/>
      <c r="J214" s="9"/>
      <c r="K214" s="9"/>
      <c r="L214" s="9"/>
      <c r="M214" s="9"/>
      <c r="N214" s="9"/>
      <c r="O214" s="98" t="str">
        <f>$O$1</f>
        <v>Currently Running : Base Case Scenario</v>
      </c>
    </row>
    <row r="215" spans="1:15" ht="22.8">
      <c r="B215" s="11" t="str">
        <f>B$2</f>
        <v>Blu Containers Company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ht="17.399999999999999">
      <c r="B216" s="13" t="s">
        <v>167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ht="3" customHeight="1" thickBot="1">
      <c r="A217" s="12"/>
      <c r="B217" s="15"/>
      <c r="C217" s="16"/>
      <c r="D217" s="16"/>
      <c r="E217" s="16"/>
      <c r="F217" s="33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>
      <c r="B218" s="555" t="s">
        <v>8</v>
      </c>
      <c r="F218"/>
    </row>
    <row r="219" spans="1:15">
      <c r="F219"/>
      <c r="H219" s="186"/>
      <c r="I219" s="186"/>
      <c r="J219" s="186"/>
      <c r="K219" s="69" t="s">
        <v>7</v>
      </c>
      <c r="L219" s="70"/>
      <c r="M219" s="70"/>
      <c r="N219" s="70"/>
      <c r="O219" s="70"/>
    </row>
    <row r="220" spans="1:15">
      <c r="B220" s="225"/>
      <c r="C220" s="226" t="s">
        <v>168</v>
      </c>
      <c r="D220" s="227"/>
      <c r="E220" s="248"/>
      <c r="F220"/>
      <c r="H220" s="187"/>
      <c r="I220" s="187"/>
      <c r="J220" s="187"/>
      <c r="K220" s="88">
        <f>K$7</f>
        <v>2023</v>
      </c>
      <c r="L220" s="88">
        <f>L$7</f>
        <v>2024</v>
      </c>
      <c r="M220" s="88">
        <f>M$7</f>
        <v>2025</v>
      </c>
      <c r="N220" s="88">
        <f>N$7</f>
        <v>2026</v>
      </c>
      <c r="O220" s="88">
        <f>O$7</f>
        <v>2027</v>
      </c>
    </row>
    <row r="221" spans="1:15">
      <c r="B221" s="225"/>
      <c r="C221" s="21"/>
      <c r="E221" s="249"/>
      <c r="F221"/>
      <c r="H221" s="187"/>
      <c r="I221" s="187"/>
      <c r="J221" s="187"/>
      <c r="K221" s="88"/>
      <c r="L221" s="88"/>
      <c r="M221" s="88"/>
      <c r="N221" s="88"/>
      <c r="O221" s="88"/>
    </row>
    <row r="222" spans="1:15">
      <c r="F222"/>
    </row>
    <row r="223" spans="1:15">
      <c r="D223" s="554" t="s">
        <v>169</v>
      </c>
      <c r="F223"/>
      <c r="H223" s="250" t="s">
        <v>170</v>
      </c>
      <c r="I223" s="243"/>
      <c r="J223" s="243"/>
      <c r="K223" s="275"/>
      <c r="L223" s="275"/>
      <c r="M223" s="275"/>
      <c r="N223" s="275"/>
      <c r="O223" s="275"/>
    </row>
    <row r="224" spans="1:15" ht="6" customHeight="1">
      <c r="E224" s="251"/>
      <c r="F224" s="251"/>
      <c r="H224" s="154"/>
      <c r="I224" s="154"/>
      <c r="J224" s="154"/>
      <c r="K224" s="154"/>
      <c r="L224" s="154"/>
      <c r="M224" s="154"/>
      <c r="N224" s="154"/>
      <c r="O224" s="154"/>
    </row>
    <row r="225" spans="1:16" ht="15.6">
      <c r="D225" t="s">
        <v>171</v>
      </c>
      <c r="F225"/>
      <c r="K225" s="276"/>
      <c r="L225" s="276"/>
      <c r="M225" s="276"/>
      <c r="N225" s="276"/>
      <c r="O225" s="276"/>
    </row>
    <row r="226" spans="1:16">
      <c r="D226" s="554" t="s">
        <v>172</v>
      </c>
      <c r="F226" s="251"/>
      <c r="H226" s="250" t="s">
        <v>173</v>
      </c>
      <c r="I226" s="277"/>
      <c r="J226" s="277"/>
      <c r="K226" s="275"/>
      <c r="L226" s="275"/>
      <c r="M226" s="275"/>
      <c r="N226" s="275"/>
      <c r="O226" s="275"/>
    </row>
    <row r="227" spans="1:16">
      <c r="E227" s="21"/>
      <c r="F227"/>
      <c r="H227" s="243"/>
      <c r="I227" s="243"/>
      <c r="J227" s="243"/>
      <c r="K227" s="273"/>
      <c r="L227" s="273"/>
      <c r="M227" s="273"/>
      <c r="N227" s="273"/>
      <c r="O227" s="273"/>
      <c r="P227" s="130"/>
    </row>
    <row r="228" spans="1:16">
      <c r="D228" s="18" t="str">
        <f>CONCATENATE("Accounting Taxes (",$E$220*100,"% of A)")</f>
        <v>Accounting Taxes (0% of A)</v>
      </c>
      <c r="E228" s="251"/>
      <c r="F228" s="154"/>
      <c r="G228" s="154"/>
      <c r="H228" s="243"/>
      <c r="I228" s="243"/>
      <c r="J228" s="243"/>
      <c r="K228" s="272"/>
      <c r="L228" s="272"/>
      <c r="M228" s="272"/>
      <c r="N228" s="272"/>
      <c r="O228" s="272"/>
    </row>
    <row r="229" spans="1:16">
      <c r="F229" s="252"/>
      <c r="H229" s="243"/>
      <c r="I229" s="243"/>
      <c r="J229" s="243"/>
      <c r="K229" s="243"/>
      <c r="L229" s="243"/>
      <c r="M229" s="243"/>
      <c r="N229" s="243"/>
      <c r="O229" s="243"/>
    </row>
    <row r="230" spans="1:16">
      <c r="D230" s="108" t="s">
        <v>174</v>
      </c>
      <c r="E230" s="253"/>
      <c r="F230" s="254"/>
      <c r="G230" s="254"/>
      <c r="H230" s="254"/>
      <c r="I230" s="254"/>
      <c r="J230" s="254"/>
      <c r="K230" s="254"/>
      <c r="L230" s="254"/>
      <c r="M230" s="254"/>
      <c r="N230" s="254"/>
      <c r="O230" s="283"/>
    </row>
    <row r="231" spans="1:16">
      <c r="D231" s="228" t="str">
        <f>CONCATENATE("Current Tax (",$E$220*100,"% of B)")</f>
        <v>Current Tax (0% of B)</v>
      </c>
      <c r="E231" s="251"/>
      <c r="F231" s="154"/>
      <c r="G231" s="255"/>
      <c r="H231" s="243"/>
      <c r="I231" s="243"/>
      <c r="J231" s="243"/>
      <c r="K231" s="272"/>
      <c r="L231" s="272"/>
      <c r="M231" s="272"/>
      <c r="N231" s="272"/>
      <c r="O231" s="284"/>
    </row>
    <row r="232" spans="1:16">
      <c r="D232" s="110" t="s">
        <v>175</v>
      </c>
      <c r="E232" s="251"/>
      <c r="F232" s="154"/>
      <c r="G232" s="154"/>
      <c r="H232" s="243"/>
      <c r="I232" s="243"/>
      <c r="J232" s="243"/>
      <c r="K232" s="278"/>
      <c r="L232" s="278"/>
      <c r="M232" s="278"/>
      <c r="N232" s="278"/>
      <c r="O232" s="285"/>
    </row>
    <row r="233" spans="1:16">
      <c r="D233" s="229" t="s">
        <v>176</v>
      </c>
      <c r="E233" s="256"/>
      <c r="F233" s="257"/>
      <c r="G233" s="257"/>
      <c r="H233" s="258"/>
      <c r="I233" s="258"/>
      <c r="J233" s="258"/>
      <c r="K233" s="279"/>
      <c r="L233" s="279"/>
      <c r="M233" s="279"/>
      <c r="N233" s="279"/>
      <c r="O233" s="286"/>
    </row>
    <row r="234" spans="1:16">
      <c r="E234" s="251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</row>
    <row r="235" spans="1:16">
      <c r="C235" s="230" t="s">
        <v>177</v>
      </c>
      <c r="E235" s="251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</row>
    <row r="236" spans="1:16" ht="6" customHeight="1">
      <c r="B236" s="23"/>
      <c r="C236" s="23"/>
      <c r="D236" s="23"/>
      <c r="E236" s="259"/>
      <c r="F236" s="259"/>
      <c r="G236" s="260"/>
      <c r="H236" s="260"/>
      <c r="I236" s="260"/>
      <c r="J236" s="260"/>
      <c r="K236" s="260"/>
      <c r="L236" s="260"/>
      <c r="M236" s="260"/>
      <c r="N236" s="260"/>
      <c r="O236" s="23"/>
    </row>
    <row r="238" spans="1:16" ht="12.75" customHeight="1">
      <c r="A238" s="10"/>
      <c r="B238" s="11"/>
      <c r="C238" s="9"/>
      <c r="D238" s="9"/>
      <c r="E238" s="9"/>
      <c r="F238" s="31"/>
      <c r="G238" s="9"/>
      <c r="H238" s="9"/>
      <c r="I238" s="9"/>
      <c r="J238" s="9"/>
      <c r="K238" s="9"/>
      <c r="L238" s="9"/>
      <c r="M238" s="9"/>
      <c r="N238" s="9"/>
      <c r="O238" s="98" t="str">
        <f>$O$1</f>
        <v>Currently Running : Base Case Scenario</v>
      </c>
    </row>
    <row r="239" spans="1:16" ht="22.8">
      <c r="B239" s="11" t="str">
        <f>B$2</f>
        <v>Blu Containers Company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6" ht="17.399999999999999">
      <c r="B240" s="13" t="s">
        <v>178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5" ht="3" customHeight="1" thickBot="1">
      <c r="A241" s="12"/>
      <c r="B241" s="15"/>
      <c r="C241" s="16"/>
      <c r="D241" s="16"/>
      <c r="E241" s="16"/>
      <c r="F241" s="33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>
      <c r="B242" s="555" t="s">
        <v>8</v>
      </c>
      <c r="F242"/>
      <c r="O242" s="18"/>
    </row>
    <row r="243" spans="1:15">
      <c r="F243"/>
      <c r="H243" s="9"/>
      <c r="I243" s="9"/>
      <c r="J243" s="9"/>
      <c r="K243" s="69" t="s">
        <v>7</v>
      </c>
      <c r="L243" s="70"/>
      <c r="M243" s="70"/>
      <c r="N243" s="70"/>
      <c r="O243" s="70"/>
    </row>
    <row r="244" spans="1:15" ht="12" customHeight="1">
      <c r="F244"/>
      <c r="G244" s="139"/>
      <c r="H244" s="36">
        <f t="shared" ref="H244:O244" si="58">H$7</f>
        <v>2020</v>
      </c>
      <c r="I244" s="36">
        <f t="shared" si="58"/>
        <v>2021</v>
      </c>
      <c r="J244" s="36">
        <f t="shared" si="58"/>
        <v>2022</v>
      </c>
      <c r="K244" s="88">
        <f t="shared" si="58"/>
        <v>2023</v>
      </c>
      <c r="L244" s="88">
        <f t="shared" si="58"/>
        <v>2024</v>
      </c>
      <c r="M244" s="88">
        <f t="shared" si="58"/>
        <v>2025</v>
      </c>
      <c r="N244" s="88">
        <f t="shared" si="58"/>
        <v>2026</v>
      </c>
      <c r="O244" s="88">
        <f t="shared" si="58"/>
        <v>2027</v>
      </c>
    </row>
    <row r="245" spans="1:15" ht="12" customHeight="1">
      <c r="F245"/>
    </row>
    <row r="246" spans="1:15">
      <c r="B246" s="105" t="s">
        <v>179</v>
      </c>
      <c r="C246" s="106"/>
      <c r="D246" s="106"/>
      <c r="E246" s="106"/>
      <c r="F246" s="261" t="s">
        <v>180</v>
      </c>
      <c r="G246" s="106"/>
      <c r="H246" s="106"/>
      <c r="I246" s="280"/>
      <c r="J246" s="280"/>
      <c r="K246" s="280"/>
      <c r="L246" s="280"/>
      <c r="M246" s="280"/>
      <c r="N246" s="280"/>
      <c r="O246" s="287"/>
    </row>
    <row r="247" spans="1:15">
      <c r="F247" s="38"/>
    </row>
    <row r="248" spans="1:15">
      <c r="B248" s="21" t="s">
        <v>10</v>
      </c>
      <c r="F248" s="38"/>
    </row>
    <row r="249" spans="1:15">
      <c r="C249" t="s">
        <v>11</v>
      </c>
      <c r="F249" s="38" t="s">
        <v>105</v>
      </c>
      <c r="I249" s="85"/>
      <c r="J249" s="85"/>
      <c r="K249" s="85"/>
      <c r="L249" s="85"/>
      <c r="M249" s="85"/>
      <c r="N249" s="85"/>
      <c r="O249" s="85"/>
    </row>
    <row r="250" spans="1:15">
      <c r="C250" t="s">
        <v>114</v>
      </c>
      <c r="F250" s="38" t="s">
        <v>105</v>
      </c>
      <c r="I250" s="85"/>
      <c r="J250" s="85"/>
      <c r="K250" s="85"/>
      <c r="L250" s="85"/>
      <c r="M250" s="85"/>
      <c r="N250" s="85"/>
      <c r="O250" s="85"/>
    </row>
    <row r="251" spans="1:15">
      <c r="F251" s="38"/>
    </row>
    <row r="252" spans="1:15">
      <c r="B252" s="231" t="s">
        <v>181</v>
      </c>
      <c r="C252" s="232"/>
      <c r="F252" s="38"/>
    </row>
    <row r="253" spans="1:15">
      <c r="B253" s="233"/>
      <c r="C253" s="232" t="s">
        <v>71</v>
      </c>
      <c r="F253" s="38" t="s">
        <v>180</v>
      </c>
      <c r="G253" s="262"/>
      <c r="H253" s="263"/>
      <c r="I253" s="85"/>
      <c r="J253" s="85"/>
      <c r="K253" s="281"/>
      <c r="L253" s="281"/>
      <c r="M253" s="281"/>
      <c r="N253" s="281"/>
      <c r="O253" s="281"/>
    </row>
    <row r="254" spans="1:15">
      <c r="B254" s="233"/>
      <c r="C254" s="234" t="s">
        <v>73</v>
      </c>
      <c r="F254" s="38" t="s">
        <v>180</v>
      </c>
      <c r="G254" s="262"/>
      <c r="H254" s="263"/>
      <c r="I254" s="85"/>
      <c r="J254" s="85"/>
      <c r="K254" s="281"/>
      <c r="L254" s="281"/>
      <c r="M254" s="281"/>
      <c r="N254" s="281"/>
      <c r="O254" s="281"/>
    </row>
    <row r="255" spans="1:15">
      <c r="B255" s="233"/>
      <c r="C255" s="234" t="s">
        <v>74</v>
      </c>
      <c r="F255" s="38" t="s">
        <v>180</v>
      </c>
      <c r="G255" s="264"/>
      <c r="H255" s="265"/>
      <c r="I255" s="85"/>
      <c r="J255" s="85"/>
      <c r="K255" s="281"/>
      <c r="L255" s="281"/>
      <c r="M255" s="281"/>
      <c r="N255" s="281"/>
      <c r="O255" s="281"/>
    </row>
    <row r="256" spans="1:15">
      <c r="B256" s="233"/>
      <c r="C256" s="234" t="s">
        <v>75</v>
      </c>
      <c r="F256" s="38" t="s">
        <v>180</v>
      </c>
      <c r="G256" s="264"/>
      <c r="H256" s="265"/>
      <c r="I256" s="85"/>
      <c r="J256" s="85"/>
      <c r="K256" s="281"/>
      <c r="L256" s="281"/>
      <c r="M256" s="281"/>
      <c r="N256" s="281"/>
      <c r="O256" s="281"/>
    </row>
    <row r="257" spans="1:15">
      <c r="B257" s="233"/>
      <c r="C257" s="232" t="s">
        <v>76</v>
      </c>
      <c r="F257" s="38" t="s">
        <v>180</v>
      </c>
      <c r="G257" s="264"/>
      <c r="H257" s="265"/>
      <c r="I257" s="85"/>
      <c r="J257" s="85"/>
      <c r="K257" s="281"/>
      <c r="L257" s="281"/>
      <c r="M257" s="281"/>
      <c r="N257" s="281"/>
      <c r="O257" s="281"/>
    </row>
    <row r="258" spans="1:15">
      <c r="B258" s="233"/>
      <c r="C258" s="232" t="s">
        <v>77</v>
      </c>
      <c r="F258" s="38" t="s">
        <v>180</v>
      </c>
      <c r="G258" s="264"/>
      <c r="H258" s="265"/>
      <c r="I258" s="85"/>
      <c r="J258" s="85"/>
      <c r="K258" s="281"/>
      <c r="L258" s="281"/>
      <c r="M258" s="281"/>
      <c r="N258" s="281"/>
      <c r="O258" s="281"/>
    </row>
    <row r="259" spans="1:15">
      <c r="B259" s="233"/>
      <c r="C259" s="232"/>
      <c r="F259" s="38"/>
      <c r="H259" s="223"/>
      <c r="I259" s="223"/>
      <c r="J259" s="223"/>
      <c r="K259" s="223"/>
      <c r="L259" s="223"/>
      <c r="M259" s="223"/>
      <c r="N259" s="223"/>
      <c r="O259" s="223"/>
    </row>
    <row r="260" spans="1:15">
      <c r="B260" s="231" t="s">
        <v>182</v>
      </c>
      <c r="C260" s="232"/>
      <c r="F260" s="38"/>
      <c r="H260" s="223"/>
      <c r="I260" s="223"/>
      <c r="J260" s="223"/>
      <c r="K260" s="223"/>
      <c r="L260" s="223"/>
      <c r="M260" s="223"/>
      <c r="N260" s="223"/>
      <c r="O260" s="223"/>
    </row>
    <row r="261" spans="1:15">
      <c r="B261" s="233"/>
      <c r="C261" s="232" t="s">
        <v>71</v>
      </c>
      <c r="F261" s="38" t="s">
        <v>105</v>
      </c>
      <c r="I261" s="85"/>
      <c r="J261" s="85"/>
      <c r="K261" s="85"/>
      <c r="L261" s="85"/>
      <c r="M261" s="85"/>
      <c r="N261" s="85"/>
      <c r="O261" s="85"/>
    </row>
    <row r="262" spans="1:15">
      <c r="B262" s="233"/>
      <c r="C262" s="234" t="s">
        <v>73</v>
      </c>
      <c r="F262" s="38" t="s">
        <v>105</v>
      </c>
      <c r="I262" s="85"/>
      <c r="J262" s="85"/>
      <c r="K262" s="85"/>
      <c r="L262" s="85"/>
      <c r="M262" s="85"/>
      <c r="N262" s="85"/>
      <c r="O262" s="85"/>
    </row>
    <row r="263" spans="1:15">
      <c r="B263" s="233"/>
      <c r="C263" s="234" t="s">
        <v>74</v>
      </c>
      <c r="F263" s="38" t="s">
        <v>105</v>
      </c>
      <c r="I263" s="85"/>
      <c r="J263" s="85"/>
      <c r="K263" s="85"/>
      <c r="L263" s="85"/>
      <c r="M263" s="85"/>
      <c r="N263" s="85"/>
      <c r="O263" s="85"/>
    </row>
    <row r="264" spans="1:15">
      <c r="B264" s="233"/>
      <c r="C264" s="234" t="s">
        <v>75</v>
      </c>
      <c r="F264" s="38" t="s">
        <v>105</v>
      </c>
      <c r="I264" s="85"/>
      <c r="J264" s="85"/>
      <c r="K264" s="85"/>
      <c r="L264" s="85"/>
      <c r="M264" s="85"/>
      <c r="N264" s="85"/>
      <c r="O264" s="85"/>
    </row>
    <row r="265" spans="1:15">
      <c r="B265" s="233"/>
      <c r="C265" s="232" t="s">
        <v>76</v>
      </c>
      <c r="F265" s="38" t="s">
        <v>105</v>
      </c>
      <c r="I265" s="291"/>
      <c r="J265" s="291"/>
      <c r="K265" s="291"/>
      <c r="L265" s="291"/>
      <c r="M265" s="291"/>
      <c r="N265" s="291"/>
      <c r="O265" s="291"/>
    </row>
    <row r="266" spans="1:15">
      <c r="B266" s="233"/>
      <c r="C266" s="232" t="s">
        <v>77</v>
      </c>
      <c r="F266" s="38" t="s">
        <v>105</v>
      </c>
      <c r="I266" s="292"/>
      <c r="J266" s="292"/>
      <c r="K266" s="292"/>
      <c r="L266" s="292"/>
      <c r="M266" s="292"/>
      <c r="N266" s="292"/>
      <c r="O266" s="292"/>
    </row>
    <row r="267" spans="1:15">
      <c r="B267" s="233"/>
      <c r="C267" s="288" t="s">
        <v>183</v>
      </c>
      <c r="D267" s="21"/>
      <c r="E267" s="21"/>
      <c r="F267" s="46" t="s">
        <v>105</v>
      </c>
      <c r="I267" s="293"/>
      <c r="J267" s="293"/>
      <c r="K267" s="293"/>
      <c r="L267" s="293"/>
      <c r="M267" s="293"/>
      <c r="N267" s="293"/>
      <c r="O267" s="293"/>
    </row>
    <row r="268" spans="1:15">
      <c r="B268" s="233"/>
      <c r="C268" s="232"/>
      <c r="F268" s="38"/>
      <c r="H268" s="223"/>
      <c r="I268" s="223"/>
      <c r="J268" s="223"/>
      <c r="K268" s="223"/>
      <c r="L268" s="223"/>
      <c r="M268" s="223"/>
      <c r="N268" s="223"/>
      <c r="O268" s="223"/>
    </row>
    <row r="269" spans="1:15" ht="13.8" thickBot="1">
      <c r="B269" s="288" t="s">
        <v>184</v>
      </c>
      <c r="C269" s="233"/>
      <c r="F269" s="46" t="s">
        <v>105</v>
      </c>
      <c r="H269" s="223"/>
      <c r="I269" s="223"/>
      <c r="J269" s="96"/>
      <c r="K269" s="96"/>
      <c r="L269" s="96"/>
      <c r="M269" s="96"/>
      <c r="N269" s="96"/>
      <c r="O269" s="96"/>
    </row>
    <row r="270" spans="1:15" ht="13.8" thickTop="1">
      <c r="B270" s="23"/>
      <c r="C270" s="289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</row>
    <row r="272" spans="1:15" ht="12.75" customHeight="1">
      <c r="A272" s="10"/>
      <c r="B272" s="11"/>
      <c r="C272" s="9"/>
      <c r="D272" s="9"/>
      <c r="E272" s="9"/>
      <c r="F272" s="31"/>
      <c r="G272" s="9"/>
      <c r="H272" s="9"/>
      <c r="I272" s="9"/>
      <c r="J272" s="9"/>
      <c r="K272" s="9"/>
      <c r="L272" s="9"/>
      <c r="M272" s="9"/>
      <c r="N272" s="9"/>
      <c r="O272" s="98" t="str">
        <f>$O$1</f>
        <v>Currently Running : Base Case Scenario</v>
      </c>
    </row>
    <row r="273" spans="1:15" ht="22.8">
      <c r="B273" s="11" t="str">
        <f>B$2</f>
        <v>Blu Containers Company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ht="17.399999999999999">
      <c r="B274" s="13" t="s">
        <v>185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ht="3" customHeight="1" thickBot="1">
      <c r="A275" s="12"/>
      <c r="B275" s="15"/>
      <c r="C275" s="16"/>
      <c r="D275" s="16"/>
      <c r="E275" s="16"/>
      <c r="F275" s="33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>
      <c r="B276" s="555" t="s">
        <v>8</v>
      </c>
      <c r="F276"/>
      <c r="O276" s="18"/>
    </row>
    <row r="277" spans="1:15">
      <c r="F277"/>
      <c r="H277" s="9"/>
      <c r="I277" s="9"/>
      <c r="J277" s="9"/>
      <c r="K277" s="69" t="s">
        <v>7</v>
      </c>
      <c r="L277" s="70"/>
      <c r="M277" s="70"/>
      <c r="N277" s="70"/>
      <c r="O277" s="70"/>
    </row>
    <row r="278" spans="1:15">
      <c r="F278"/>
      <c r="G278" s="139"/>
      <c r="H278" s="139"/>
      <c r="I278" s="139"/>
      <c r="J278" s="36">
        <f t="shared" ref="J278:O278" si="59">J$7</f>
        <v>2022</v>
      </c>
      <c r="K278" s="88">
        <f t="shared" si="59"/>
        <v>2023</v>
      </c>
      <c r="L278" s="88">
        <f t="shared" si="59"/>
        <v>2024</v>
      </c>
      <c r="M278" s="88">
        <f t="shared" si="59"/>
        <v>2025</v>
      </c>
      <c r="N278" s="88">
        <f t="shared" si="59"/>
        <v>2026</v>
      </c>
      <c r="O278" s="88">
        <f t="shared" si="59"/>
        <v>2027</v>
      </c>
    </row>
    <row r="279" spans="1:15" ht="6" customHeight="1"/>
    <row r="280" spans="1:15">
      <c r="B280" s="21" t="s">
        <v>186</v>
      </c>
      <c r="K280" s="294"/>
      <c r="L280" s="294"/>
      <c r="M280" s="294"/>
      <c r="N280" s="294"/>
      <c r="O280" s="294"/>
    </row>
    <row r="281" spans="1:15" ht="6" customHeight="1"/>
    <row r="282" spans="1:15">
      <c r="C282" s="21" t="s">
        <v>145</v>
      </c>
    </row>
    <row r="283" spans="1:15">
      <c r="D283" t="s">
        <v>187</v>
      </c>
      <c r="K283" s="157"/>
      <c r="L283" s="157"/>
      <c r="M283" s="157"/>
      <c r="N283" s="157"/>
      <c r="O283" s="157"/>
    </row>
    <row r="284" spans="1:15">
      <c r="D284" t="s">
        <v>188</v>
      </c>
      <c r="J284" s="23"/>
      <c r="K284" s="295"/>
      <c r="L284" s="295"/>
      <c r="M284" s="295"/>
      <c r="N284" s="295"/>
      <c r="O284" s="295"/>
    </row>
    <row r="285" spans="1:15">
      <c r="D285" t="s">
        <v>189</v>
      </c>
      <c r="I285" s="296"/>
      <c r="J285" s="270"/>
      <c r="K285" s="270"/>
      <c r="L285" s="270"/>
      <c r="M285" s="270"/>
      <c r="N285" s="270"/>
      <c r="O285" s="270"/>
    </row>
    <row r="286" spans="1:15" ht="6" customHeight="1"/>
    <row r="287" spans="1:15">
      <c r="D287" t="s">
        <v>190</v>
      </c>
      <c r="K287" s="297"/>
      <c r="L287" s="298"/>
      <c r="M287" s="298"/>
      <c r="N287" s="298"/>
      <c r="O287" s="298"/>
    </row>
    <row r="288" spans="1:15">
      <c r="D288" s="21" t="s">
        <v>191</v>
      </c>
      <c r="K288" s="299"/>
      <c r="L288" s="299"/>
      <c r="M288" s="299"/>
      <c r="N288" s="299"/>
      <c r="O288" s="299"/>
    </row>
    <row r="289" spans="2:15" ht="6" customHeight="1"/>
    <row r="291" spans="2:15">
      <c r="C291" s="21" t="s">
        <v>192</v>
      </c>
    </row>
    <row r="292" spans="2:15">
      <c r="B292" s="21"/>
      <c r="D292" t="s">
        <v>130</v>
      </c>
      <c r="H292" s="290"/>
      <c r="I292" s="290"/>
      <c r="J292" s="290"/>
      <c r="K292" s="163"/>
      <c r="L292" s="163"/>
      <c r="M292" s="163"/>
      <c r="N292" s="163"/>
      <c r="O292" s="163"/>
    </row>
    <row r="293" spans="2:15">
      <c r="B293" s="21"/>
      <c r="D293" t="s">
        <v>133</v>
      </c>
      <c r="H293" s="290"/>
      <c r="I293" s="290"/>
      <c r="J293" s="290"/>
      <c r="K293" s="163"/>
      <c r="L293" s="163"/>
      <c r="M293" s="163"/>
      <c r="N293" s="163"/>
      <c r="O293" s="163"/>
    </row>
    <row r="294" spans="2:15">
      <c r="B294" s="21"/>
      <c r="D294" t="s">
        <v>193</v>
      </c>
      <c r="H294" s="290"/>
      <c r="I294" s="290"/>
      <c r="J294" s="290"/>
      <c r="K294" s="163"/>
      <c r="L294" s="163"/>
      <c r="M294" s="163"/>
      <c r="N294" s="163"/>
      <c r="O294" s="163"/>
    </row>
    <row r="295" spans="2:15">
      <c r="B295" s="21"/>
      <c r="D295" t="s">
        <v>80</v>
      </c>
      <c r="H295" s="290"/>
      <c r="I295" s="290"/>
      <c r="J295" s="290"/>
      <c r="K295" s="163"/>
      <c r="L295" s="163"/>
      <c r="M295" s="163"/>
      <c r="N295" s="163"/>
      <c r="O295" s="163"/>
    </row>
    <row r="296" spans="2:15">
      <c r="B296" s="21"/>
      <c r="D296" t="s">
        <v>194</v>
      </c>
      <c r="H296" s="290"/>
      <c r="I296" s="290"/>
      <c r="J296" s="290"/>
      <c r="K296" s="93"/>
      <c r="L296" s="93"/>
      <c r="M296" s="93"/>
      <c r="N296" s="93"/>
      <c r="O296" s="93"/>
    </row>
    <row r="297" spans="2:15">
      <c r="D297" s="21" t="s">
        <v>195</v>
      </c>
      <c r="K297" s="300"/>
      <c r="L297" s="300"/>
      <c r="M297" s="300"/>
      <c r="N297" s="300"/>
      <c r="O297" s="300"/>
    </row>
    <row r="298" spans="2:15">
      <c r="C298" s="21"/>
    </row>
    <row r="299" spans="2:15">
      <c r="D299" t="s">
        <v>196</v>
      </c>
      <c r="K299" s="157"/>
      <c r="L299" s="157"/>
      <c r="M299" s="157"/>
      <c r="N299" s="157"/>
      <c r="O299" s="157"/>
    </row>
    <row r="300" spans="2:15">
      <c r="D300" t="s">
        <v>197</v>
      </c>
      <c r="J300" s="23"/>
      <c r="K300" s="295"/>
      <c r="L300" s="295"/>
      <c r="M300" s="295"/>
      <c r="N300" s="295"/>
      <c r="O300" s="295"/>
    </row>
    <row r="301" spans="2:15">
      <c r="D301" t="s">
        <v>198</v>
      </c>
      <c r="I301" s="296"/>
      <c r="J301" s="270"/>
      <c r="K301" s="270"/>
      <c r="L301" s="270"/>
      <c r="M301" s="270"/>
      <c r="N301" s="270"/>
      <c r="O301" s="270"/>
    </row>
    <row r="302" spans="2:15" ht="6" customHeight="1"/>
    <row r="303" spans="2:15">
      <c r="D303" t="s">
        <v>190</v>
      </c>
      <c r="K303" s="301"/>
      <c r="L303" s="83"/>
      <c r="M303" s="83"/>
      <c r="N303" s="83"/>
      <c r="O303" s="83"/>
    </row>
    <row r="304" spans="2:15">
      <c r="D304" s="21" t="s">
        <v>199</v>
      </c>
      <c r="K304" s="299"/>
      <c r="L304" s="299"/>
      <c r="M304" s="299"/>
      <c r="N304" s="299"/>
      <c r="O304" s="299"/>
    </row>
    <row r="305" spans="1:15" ht="6" customHeight="1"/>
    <row r="307" spans="1:15">
      <c r="C307" s="21" t="s">
        <v>154</v>
      </c>
    </row>
    <row r="308" spans="1:15">
      <c r="D308" t="s">
        <v>187</v>
      </c>
      <c r="K308" s="157"/>
      <c r="L308" s="157"/>
      <c r="M308" s="157"/>
      <c r="N308" s="157"/>
      <c r="O308" s="157"/>
    </row>
    <row r="309" spans="1:15">
      <c r="D309" t="s">
        <v>197</v>
      </c>
      <c r="J309" s="23"/>
      <c r="K309" s="302"/>
      <c r="L309" s="302"/>
      <c r="M309" s="302"/>
      <c r="N309" s="302"/>
      <c r="O309" s="302"/>
    </row>
    <row r="310" spans="1:15">
      <c r="D310" t="s">
        <v>189</v>
      </c>
      <c r="I310" s="296"/>
      <c r="J310" s="270"/>
      <c r="K310" s="270"/>
      <c r="L310" s="270"/>
      <c r="M310" s="270"/>
      <c r="N310" s="270"/>
      <c r="O310" s="270"/>
    </row>
    <row r="311" spans="1:15" ht="6" customHeight="1"/>
    <row r="312" spans="1:15">
      <c r="D312" t="s">
        <v>190</v>
      </c>
      <c r="K312" s="301"/>
      <c r="L312" s="83"/>
      <c r="M312" s="83"/>
      <c r="N312" s="83"/>
      <c r="O312" s="83"/>
    </row>
    <row r="313" spans="1:15">
      <c r="D313" s="21" t="s">
        <v>199</v>
      </c>
      <c r="K313" s="299"/>
      <c r="L313" s="299"/>
      <c r="M313" s="299"/>
      <c r="N313" s="299"/>
      <c r="O313" s="299"/>
    </row>
    <row r="316" spans="1:15" ht="13.8" thickBot="1">
      <c r="C316" s="21" t="s">
        <v>200</v>
      </c>
      <c r="K316" s="158"/>
      <c r="L316" s="158"/>
      <c r="M316" s="158"/>
      <c r="N316" s="158"/>
      <c r="O316" s="158"/>
    </row>
    <row r="317" spans="1:15" ht="13.8" thickTop="1">
      <c r="B317" s="23"/>
      <c r="C317" s="23"/>
      <c r="D317" s="23"/>
      <c r="E317" s="23"/>
      <c r="F317" s="53"/>
      <c r="G317" s="23"/>
      <c r="H317" s="23"/>
      <c r="I317" s="23"/>
      <c r="J317" s="23"/>
      <c r="K317" s="23"/>
      <c r="L317" s="23"/>
      <c r="M317" s="23"/>
      <c r="N317" s="23"/>
      <c r="O317" s="23"/>
    </row>
    <row r="319" spans="1:15" ht="12.75" customHeight="1">
      <c r="A319" s="10"/>
      <c r="B319" s="11"/>
      <c r="C319" s="9"/>
      <c r="D319" s="9"/>
      <c r="E319" s="9"/>
      <c r="F319" s="31"/>
      <c r="G319" s="9"/>
      <c r="H319" s="9"/>
      <c r="I319" s="9"/>
      <c r="J319" s="9"/>
      <c r="K319" s="9"/>
      <c r="L319" s="9"/>
      <c r="M319" s="9"/>
      <c r="N319" s="9"/>
      <c r="O319" s="98" t="str">
        <f>$O$1</f>
        <v>Currently Running : Base Case Scenario</v>
      </c>
    </row>
    <row r="320" spans="1:15" ht="22.8">
      <c r="B320" s="11" t="str">
        <f>B$2</f>
        <v>Blu Containers Company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spans="1:15" ht="17.399999999999999">
      <c r="B321" s="13" t="s">
        <v>201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spans="1:15" ht="3" customHeight="1" thickBot="1">
      <c r="A322" s="12"/>
      <c r="B322" s="15"/>
      <c r="C322" s="16"/>
      <c r="D322" s="16"/>
      <c r="E322" s="16"/>
      <c r="F322" s="33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>
      <c r="B323" s="555" t="s">
        <v>8</v>
      </c>
      <c r="F323"/>
      <c r="O323" s="18"/>
    </row>
    <row r="324" spans="1:15">
      <c r="F324"/>
      <c r="H324" s="9"/>
      <c r="I324" s="9"/>
      <c r="J324" s="9"/>
      <c r="K324" s="69" t="s">
        <v>7</v>
      </c>
      <c r="L324" s="70"/>
      <c r="M324" s="70"/>
      <c r="N324" s="70"/>
      <c r="O324" s="70"/>
    </row>
    <row r="325" spans="1:15">
      <c r="F325"/>
      <c r="G325" s="139"/>
      <c r="H325" s="139"/>
      <c r="I325" s="139"/>
      <c r="J325" s="36">
        <f t="shared" ref="J325:O325" si="60">J$7</f>
        <v>2022</v>
      </c>
      <c r="K325" s="88">
        <f t="shared" si="60"/>
        <v>2023</v>
      </c>
      <c r="L325" s="88">
        <f t="shared" si="60"/>
        <v>2024</v>
      </c>
      <c r="M325" s="88">
        <f t="shared" si="60"/>
        <v>2025</v>
      </c>
      <c r="N325" s="88">
        <f t="shared" si="60"/>
        <v>2026</v>
      </c>
      <c r="O325" s="88">
        <f t="shared" si="60"/>
        <v>2027</v>
      </c>
    </row>
    <row r="327" spans="1:15" ht="13.35" customHeight="1">
      <c r="B327" s="21"/>
      <c r="C327" s="21" t="s">
        <v>157</v>
      </c>
    </row>
    <row r="328" spans="1:15" ht="13.35" customHeight="1">
      <c r="D328" t="s">
        <v>187</v>
      </c>
      <c r="G328" s="38"/>
      <c r="K328" s="157"/>
      <c r="L328" s="157"/>
      <c r="M328" s="157"/>
      <c r="N328" s="157"/>
      <c r="O328" s="157"/>
    </row>
    <row r="329" spans="1:15" ht="13.35" customHeight="1">
      <c r="D329" t="s">
        <v>202</v>
      </c>
      <c r="J329" s="23"/>
      <c r="K329" s="302"/>
      <c r="L329" s="302"/>
      <c r="M329" s="302"/>
      <c r="N329" s="302"/>
      <c r="O329" s="302"/>
    </row>
    <row r="330" spans="1:15" ht="13.35" customHeight="1">
      <c r="D330" t="s">
        <v>189</v>
      </c>
      <c r="J330" s="270"/>
      <c r="K330" s="270"/>
      <c r="L330" s="270"/>
      <c r="M330" s="270"/>
      <c r="N330" s="270"/>
      <c r="O330" s="270"/>
    </row>
    <row r="331" spans="1:15" ht="6" customHeight="1"/>
    <row r="332" spans="1:15" ht="13.35" customHeight="1">
      <c r="D332" t="s">
        <v>203</v>
      </c>
      <c r="K332" s="301"/>
      <c r="L332" s="49">
        <f>K332</f>
        <v>0</v>
      </c>
      <c r="M332" s="49">
        <f>L332</f>
        <v>0</v>
      </c>
      <c r="N332" s="49">
        <f>M332</f>
        <v>0</v>
      </c>
      <c r="O332" s="49">
        <f>N332</f>
        <v>0</v>
      </c>
    </row>
    <row r="333" spans="1:15" ht="13.35" customHeight="1">
      <c r="D333" t="s">
        <v>17</v>
      </c>
      <c r="K333" s="157"/>
      <c r="L333" s="157"/>
      <c r="M333" s="157"/>
      <c r="N333" s="157"/>
      <c r="O333" s="157"/>
    </row>
    <row r="334" spans="1:15" ht="13.35" customHeight="1">
      <c r="C334" s="21"/>
      <c r="D334" s="21" t="s">
        <v>204</v>
      </c>
      <c r="K334" s="299"/>
      <c r="L334" s="299"/>
      <c r="M334" s="299"/>
      <c r="N334" s="299"/>
      <c r="O334" s="299"/>
    </row>
    <row r="337" spans="2:15" ht="13.35" customHeight="1">
      <c r="B337" s="21"/>
      <c r="C337" s="21" t="s">
        <v>158</v>
      </c>
    </row>
    <row r="338" spans="2:15" ht="13.35" customHeight="1">
      <c r="D338" t="s">
        <v>187</v>
      </c>
      <c r="K338" s="157"/>
      <c r="L338" s="157"/>
      <c r="M338" s="157"/>
      <c r="N338" s="157"/>
      <c r="O338" s="157"/>
    </row>
    <row r="339" spans="2:15" ht="13.35" customHeight="1">
      <c r="D339" t="s">
        <v>17</v>
      </c>
      <c r="K339" s="157"/>
      <c r="L339" s="157"/>
      <c r="M339" s="157"/>
      <c r="N339" s="157"/>
      <c r="O339" s="157"/>
    </row>
    <row r="340" spans="2:15" ht="13.35" customHeight="1">
      <c r="D340" t="s">
        <v>204</v>
      </c>
      <c r="J340" s="23"/>
      <c r="K340" s="295"/>
      <c r="L340" s="295"/>
      <c r="M340" s="295"/>
      <c r="N340" s="295"/>
      <c r="O340" s="295"/>
    </row>
    <row r="341" spans="2:15" ht="13.35" customHeight="1">
      <c r="D341" s="21" t="s">
        <v>189</v>
      </c>
      <c r="E341" s="21"/>
      <c r="F341" s="60"/>
      <c r="G341" s="21"/>
      <c r="H341" s="21"/>
      <c r="I341" s="21"/>
      <c r="J341" s="300"/>
      <c r="K341" s="300"/>
      <c r="L341" s="300"/>
      <c r="M341" s="300"/>
      <c r="N341" s="300"/>
      <c r="O341" s="300"/>
    </row>
    <row r="342" spans="2:15">
      <c r="B342" s="23"/>
      <c r="C342" s="23"/>
      <c r="D342" s="23"/>
      <c r="E342" s="23"/>
      <c r="F342" s="53"/>
      <c r="G342" s="23"/>
      <c r="H342" s="23"/>
      <c r="I342" s="23"/>
      <c r="J342" s="23"/>
      <c r="K342" s="23"/>
      <c r="L342" s="23"/>
      <c r="M342" s="23"/>
      <c r="N342" s="23"/>
      <c r="O342" s="23"/>
    </row>
  </sheetData>
  <sheetProtection formatCells="0" formatColumns="0" formatRows="0" insertColumns="0" insertRows="0"/>
  <printOptions horizontalCentered="1"/>
  <pageMargins left="0.25" right="0.25" top="0.25" bottom="0.5" header="0.25" footer="0.25"/>
  <pageSetup scale="95" orientation="landscape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"/>
  <dimension ref="D12:K132"/>
  <sheetViews>
    <sheetView topLeftCell="A104" workbookViewId="0">
      <selection activeCell="Q176" sqref="Q176"/>
    </sheetView>
  </sheetViews>
  <sheetFormatPr baseColWidth="10" defaultColWidth="9.109375" defaultRowHeight="13.2"/>
  <cols>
    <col min="1" max="3" width="9.109375" style="1"/>
    <col min="4" max="4" width="10.109375" style="1" bestFit="1" customWidth="1"/>
    <col min="5" max="5" width="9.109375" style="1"/>
    <col min="6" max="6" width="17.88671875" style="1" bestFit="1" customWidth="1"/>
    <col min="7" max="7" width="10.109375" style="1" bestFit="1" customWidth="1"/>
    <col min="8" max="16384" width="9.109375" style="1"/>
  </cols>
  <sheetData>
    <row r="12" spans="4:5">
      <c r="D12" s="2" t="s">
        <v>205</v>
      </c>
    </row>
    <row r="13" spans="4:5">
      <c r="D13" s="1" t="s">
        <v>206</v>
      </c>
    </row>
    <row r="14" spans="4:5">
      <c r="E14" s="3">
        <v>4.5</v>
      </c>
    </row>
    <row r="15" spans="4:5">
      <c r="E15" s="4">
        <v>25</v>
      </c>
    </row>
    <row r="16" spans="4:5">
      <c r="D16" s="1" t="s">
        <v>207</v>
      </c>
    </row>
    <row r="17" spans="4:8">
      <c r="E17" s="5">
        <v>65</v>
      </c>
    </row>
    <row r="18" spans="4:8">
      <c r="E18" s="5">
        <v>-65</v>
      </c>
    </row>
    <row r="19" spans="4:8">
      <c r="E19" s="5">
        <v>0</v>
      </c>
    </row>
    <row r="20" spans="4:8">
      <c r="E20" s="5" t="s">
        <v>208</v>
      </c>
    </row>
    <row r="21" spans="4:8">
      <c r="D21" s="570" t="s">
        <v>213</v>
      </c>
    </row>
    <row r="22" spans="4:8">
      <c r="D22" s="571" t="s">
        <v>214</v>
      </c>
    </row>
    <row r="23" spans="4:8">
      <c r="G23" s="570" t="s">
        <v>215</v>
      </c>
      <c r="H23" s="570">
        <v>2023</v>
      </c>
    </row>
    <row r="24" spans="4:8">
      <c r="F24" s="571" t="s">
        <v>216</v>
      </c>
      <c r="G24" s="1">
        <v>800</v>
      </c>
      <c r="H24" s="1">
        <v>800</v>
      </c>
    </row>
    <row r="25" spans="4:8">
      <c r="F25" s="571" t="s">
        <v>217</v>
      </c>
      <c r="H25" s="573">
        <v>0.03</v>
      </c>
    </row>
    <row r="26" spans="4:8">
      <c r="F26" s="571" t="s">
        <v>218</v>
      </c>
      <c r="G26" s="1">
        <f>G27*1000/G24</f>
        <v>125</v>
      </c>
      <c r="H26" s="1">
        <f>G26*(1+H25)</f>
        <v>128.75</v>
      </c>
    </row>
    <row r="27" spans="4:8">
      <c r="F27" s="571" t="s">
        <v>219</v>
      </c>
      <c r="G27" s="572">
        <v>100</v>
      </c>
      <c r="H27" s="572">
        <f>H24*H26/1000</f>
        <v>103</v>
      </c>
    </row>
    <row r="28" spans="4:8">
      <c r="F28" s="571" t="s">
        <v>223</v>
      </c>
    </row>
    <row r="29" spans="4:8">
      <c r="F29" s="574" t="s">
        <v>225</v>
      </c>
      <c r="G29" s="572"/>
      <c r="H29" s="577">
        <v>2.5000000000000001E-2</v>
      </c>
    </row>
    <row r="30" spans="4:8">
      <c r="F30" s="571" t="s">
        <v>226</v>
      </c>
      <c r="G30" s="575">
        <v>0.75</v>
      </c>
    </row>
    <row r="31" spans="4:8">
      <c r="F31" s="571" t="s">
        <v>227</v>
      </c>
      <c r="G31" s="576">
        <f>1-G30</f>
        <v>0.25</v>
      </c>
    </row>
    <row r="32" spans="4:8">
      <c r="F32" s="571"/>
    </row>
    <row r="33" spans="4:9">
      <c r="F33" s="571" t="s">
        <v>228</v>
      </c>
      <c r="G33" s="1">
        <f>G37*1000/G26</f>
        <v>360</v>
      </c>
      <c r="H33" s="1">
        <f>G33*(1+H29)</f>
        <v>368.99999999999994</v>
      </c>
      <c r="I33" s="569">
        <v>1</v>
      </c>
    </row>
    <row r="34" spans="4:9">
      <c r="F34" s="571" t="s">
        <v>229</v>
      </c>
      <c r="G34" s="1">
        <f>G38*1000/G26</f>
        <v>120</v>
      </c>
      <c r="H34" s="578">
        <f>H38*1000/H26</f>
        <v>119.41747572815532</v>
      </c>
      <c r="I34" s="569">
        <v>4</v>
      </c>
    </row>
    <row r="35" spans="4:9">
      <c r="F35" s="570" t="s">
        <v>230</v>
      </c>
      <c r="G35" s="579">
        <f>G33+G34</f>
        <v>480</v>
      </c>
      <c r="H35" s="579">
        <f>H33+H34</f>
        <v>488.4174757281553</v>
      </c>
    </row>
    <row r="36" spans="4:9">
      <c r="F36" s="571"/>
    </row>
    <row r="37" spans="4:9">
      <c r="F37" s="571" t="s">
        <v>231</v>
      </c>
      <c r="G37" s="1">
        <f>G30*G41</f>
        <v>45</v>
      </c>
      <c r="H37" s="578">
        <f>H33*H26/1000</f>
        <v>47.508749999999992</v>
      </c>
      <c r="I37" s="569">
        <v>2</v>
      </c>
    </row>
    <row r="38" spans="4:9">
      <c r="F38" s="571" t="s">
        <v>232</v>
      </c>
      <c r="G38" s="1">
        <f>G31*G41</f>
        <v>15</v>
      </c>
      <c r="H38" s="578">
        <f>G38*(1+H29)</f>
        <v>15.374999999999998</v>
      </c>
      <c r="I38" s="569">
        <v>3</v>
      </c>
    </row>
    <row r="39" spans="4:9">
      <c r="F39" s="570" t="s">
        <v>233</v>
      </c>
      <c r="G39" s="570">
        <f>G37+G38</f>
        <v>60</v>
      </c>
      <c r="H39" s="579">
        <f>H37+H38</f>
        <v>62.883749999999992</v>
      </c>
    </row>
    <row r="40" spans="4:9">
      <c r="F40" s="571"/>
    </row>
    <row r="41" spans="4:9">
      <c r="F41" s="571" t="s">
        <v>220</v>
      </c>
      <c r="G41" s="1">
        <v>60</v>
      </c>
      <c r="H41" s="578">
        <f>H39</f>
        <v>62.883749999999992</v>
      </c>
    </row>
    <row r="42" spans="4:9">
      <c r="F42" s="571" t="s">
        <v>221</v>
      </c>
      <c r="G42" s="572">
        <v>40</v>
      </c>
      <c r="H42" s="580">
        <f>H27-H41</f>
        <v>40.116250000000008</v>
      </c>
    </row>
    <row r="43" spans="4:9">
      <c r="F43" s="571" t="s">
        <v>222</v>
      </c>
      <c r="H43" s="582">
        <f>H42/G42-1</f>
        <v>2.9062500000001101E-3</v>
      </c>
    </row>
    <row r="44" spans="4:9">
      <c r="G44" s="572"/>
      <c r="H44" s="572"/>
    </row>
    <row r="45" spans="4:9">
      <c r="F45" s="570" t="s">
        <v>224</v>
      </c>
      <c r="G45" s="573">
        <f>G42/G27</f>
        <v>0.4</v>
      </c>
      <c r="H45" s="573">
        <f>H42/H27</f>
        <v>0.3894781553398059</v>
      </c>
    </row>
    <row r="47" spans="4:9">
      <c r="D47" s="570" t="s">
        <v>234</v>
      </c>
    </row>
    <row r="48" spans="4:9">
      <c r="D48" s="571" t="s">
        <v>235</v>
      </c>
    </row>
    <row r="50" spans="4:8">
      <c r="G50" s="570" t="s">
        <v>215</v>
      </c>
      <c r="H50" s="570">
        <v>2023</v>
      </c>
    </row>
    <row r="51" spans="4:8">
      <c r="F51" s="571" t="s">
        <v>236</v>
      </c>
      <c r="H51" s="581">
        <f>H52/G52-1</f>
        <v>5.0000000000000044E-2</v>
      </c>
    </row>
    <row r="52" spans="4:8">
      <c r="F52" s="571" t="s">
        <v>103</v>
      </c>
      <c r="G52" s="1">
        <v>100</v>
      </c>
      <c r="H52" s="1">
        <v>105</v>
      </c>
    </row>
    <row r="54" spans="4:8">
      <c r="F54" s="571" t="s">
        <v>237</v>
      </c>
      <c r="G54" s="1">
        <v>60</v>
      </c>
      <c r="H54" s="1">
        <v>63</v>
      </c>
    </row>
    <row r="55" spans="4:8">
      <c r="F55" s="571" t="s">
        <v>238</v>
      </c>
      <c r="G55" s="572">
        <f>G52-G54</f>
        <v>40</v>
      </c>
      <c r="H55" s="572">
        <f>H52-H54</f>
        <v>42</v>
      </c>
    </row>
    <row r="57" spans="4:8">
      <c r="F57" s="571" t="s">
        <v>224</v>
      </c>
      <c r="G57" s="573">
        <f>G55/G52</f>
        <v>0.4</v>
      </c>
      <c r="H57" s="573">
        <f>H55/H52</f>
        <v>0.4</v>
      </c>
    </row>
    <row r="59" spans="4:8">
      <c r="D59" s="571" t="s">
        <v>239</v>
      </c>
    </row>
    <row r="60" spans="4:8">
      <c r="D60" s="571" t="s">
        <v>240</v>
      </c>
    </row>
    <row r="61" spans="4:8">
      <c r="D61" s="571" t="s">
        <v>241</v>
      </c>
    </row>
    <row r="62" spans="4:8">
      <c r="D62" s="571" t="s">
        <v>242</v>
      </c>
    </row>
    <row r="63" spans="4:8">
      <c r="D63" s="571" t="s">
        <v>243</v>
      </c>
    </row>
    <row r="64" spans="4:8">
      <c r="D64" s="571" t="s">
        <v>244</v>
      </c>
    </row>
    <row r="65" spans="4:11">
      <c r="D65" s="571" t="s">
        <v>245</v>
      </c>
    </row>
    <row r="66" spans="4:11">
      <c r="D66" s="571" t="s">
        <v>247</v>
      </c>
    </row>
    <row r="69" spans="4:11">
      <c r="D69" s="570" t="s">
        <v>248</v>
      </c>
    </row>
    <row r="70" spans="4:11">
      <c r="D70" s="571" t="s">
        <v>249</v>
      </c>
    </row>
    <row r="71" spans="4:11">
      <c r="D71" s="571" t="s">
        <v>250</v>
      </c>
    </row>
    <row r="72" spans="4:11">
      <c r="D72" s="571" t="s">
        <v>251</v>
      </c>
    </row>
    <row r="73" spans="4:11">
      <c r="D73" s="571" t="s">
        <v>252</v>
      </c>
    </row>
    <row r="74" spans="4:11">
      <c r="D74" s="571" t="s">
        <v>253</v>
      </c>
    </row>
    <row r="76" spans="4:11">
      <c r="G76" s="570" t="s">
        <v>215</v>
      </c>
      <c r="H76" s="570" t="s">
        <v>262</v>
      </c>
      <c r="J76" s="585" t="s">
        <v>209</v>
      </c>
      <c r="K76" s="586" t="s">
        <v>261</v>
      </c>
    </row>
    <row r="77" spans="4:11">
      <c r="F77" s="571" t="s">
        <v>218</v>
      </c>
      <c r="G77" s="1">
        <v>120</v>
      </c>
      <c r="H77" s="1">
        <v>120</v>
      </c>
      <c r="J77" s="587">
        <v>0</v>
      </c>
      <c r="K77" s="588">
        <v>10</v>
      </c>
    </row>
    <row r="78" spans="4:11">
      <c r="F78" s="571" t="s">
        <v>254</v>
      </c>
      <c r="H78" s="1">
        <v>150</v>
      </c>
      <c r="J78" s="589">
        <v>151</v>
      </c>
      <c r="K78" s="590">
        <v>15</v>
      </c>
    </row>
    <row r="79" spans="4:11">
      <c r="F79" s="571"/>
      <c r="J79" s="589">
        <v>176</v>
      </c>
      <c r="K79" s="590">
        <v>20</v>
      </c>
    </row>
    <row r="80" spans="4:11">
      <c r="J80" s="591">
        <v>201</v>
      </c>
      <c r="K80" s="592">
        <v>25</v>
      </c>
    </row>
    <row r="81" spans="4:9">
      <c r="F81" s="571" t="s">
        <v>225</v>
      </c>
      <c r="H81" s="581">
        <v>2.8000000000000001E-2</v>
      </c>
    </row>
    <row r="83" spans="4:9">
      <c r="F83" s="571" t="s">
        <v>255</v>
      </c>
      <c r="G83" s="1">
        <v>395</v>
      </c>
      <c r="H83" s="1">
        <f>G83*(1+H81)</f>
        <v>406.06</v>
      </c>
    </row>
    <row r="84" spans="4:9">
      <c r="F84" s="571" t="s">
        <v>256</v>
      </c>
      <c r="G84" s="1">
        <v>47</v>
      </c>
      <c r="H84" s="578">
        <f>H83*H77/1000</f>
        <v>48.727199999999996</v>
      </c>
    </row>
    <row r="86" spans="4:9">
      <c r="F86" s="571" t="s">
        <v>257</v>
      </c>
      <c r="G86" s="1">
        <v>83</v>
      </c>
    </row>
    <row r="87" spans="4:9">
      <c r="F87" s="571" t="s">
        <v>258</v>
      </c>
      <c r="G87" s="1">
        <v>10</v>
      </c>
      <c r="H87" s="1">
        <f>VLOOKUP(H77,J77:K80,2,TRUE)</f>
        <v>10</v>
      </c>
      <c r="I87" s="571" t="s">
        <v>263</v>
      </c>
    </row>
    <row r="89" spans="4:9">
      <c r="F89" s="571" t="s">
        <v>259</v>
      </c>
      <c r="G89" s="1">
        <f>G90*1000/G77</f>
        <v>125</v>
      </c>
      <c r="H89" s="578">
        <f>H90*1000/H77</f>
        <v>128.5</v>
      </c>
    </row>
    <row r="90" spans="4:9">
      <c r="F90" s="571" t="s">
        <v>260</v>
      </c>
      <c r="G90" s="1">
        <v>15</v>
      </c>
      <c r="H90" s="578">
        <f>G90*(1+H81)</f>
        <v>15.42</v>
      </c>
    </row>
    <row r="93" spans="4:9">
      <c r="D93" s="570" t="s">
        <v>276</v>
      </c>
    </row>
    <row r="94" spans="4:9">
      <c r="G94" s="570" t="s">
        <v>262</v>
      </c>
    </row>
    <row r="95" spans="4:9">
      <c r="G95" s="604" t="s">
        <v>119</v>
      </c>
      <c r="H95" s="604" t="s">
        <v>279</v>
      </c>
      <c r="I95" s="604" t="s">
        <v>280</v>
      </c>
    </row>
    <row r="96" spans="4:9">
      <c r="D96" s="571" t="s">
        <v>277</v>
      </c>
      <c r="G96" s="606">
        <v>100</v>
      </c>
      <c r="H96" s="573">
        <v>0.35</v>
      </c>
      <c r="I96" s="607">
        <f>G96*H96</f>
        <v>35</v>
      </c>
    </row>
    <row r="97" spans="4:10">
      <c r="D97" s="571" t="s">
        <v>278</v>
      </c>
      <c r="G97" s="608">
        <v>30</v>
      </c>
      <c r="H97" s="573">
        <v>0.35</v>
      </c>
      <c r="I97" s="605">
        <f>G97*H97</f>
        <v>10.5</v>
      </c>
      <c r="J97" s="571" t="s">
        <v>281</v>
      </c>
    </row>
    <row r="100" spans="4:10">
      <c r="D100" s="609" t="s">
        <v>282</v>
      </c>
      <c r="G100" s="570" t="s">
        <v>262</v>
      </c>
    </row>
    <row r="101" spans="4:10">
      <c r="D101" s="571" t="s">
        <v>291</v>
      </c>
      <c r="G101" s="605">
        <f>I97</f>
        <v>10.5</v>
      </c>
    </row>
    <row r="102" spans="4:10">
      <c r="D102" s="571" t="s">
        <v>283</v>
      </c>
      <c r="G102" s="610">
        <f>G103-G101</f>
        <v>24.5</v>
      </c>
      <c r="H102" s="611" t="s">
        <v>289</v>
      </c>
    </row>
    <row r="103" spans="4:10">
      <c r="D103" s="571" t="s">
        <v>284</v>
      </c>
      <c r="G103" s="607">
        <f>I96</f>
        <v>35</v>
      </c>
    </row>
    <row r="105" spans="4:10">
      <c r="D105" s="571" t="s">
        <v>285</v>
      </c>
      <c r="G105" s="607">
        <f>G96-G103</f>
        <v>65</v>
      </c>
    </row>
    <row r="107" spans="4:10">
      <c r="D107" s="609" t="s">
        <v>286</v>
      </c>
    </row>
    <row r="108" spans="4:10">
      <c r="D108" s="571" t="s">
        <v>285</v>
      </c>
      <c r="G108" s="607">
        <f>G105</f>
        <v>65</v>
      </c>
    </row>
    <row r="109" spans="4:10">
      <c r="D109" s="571" t="s">
        <v>283</v>
      </c>
      <c r="G109" s="605">
        <f>G102</f>
        <v>24.5</v>
      </c>
      <c r="H109" s="611" t="s">
        <v>290</v>
      </c>
    </row>
    <row r="112" spans="4:10">
      <c r="D112" s="609" t="s">
        <v>287</v>
      </c>
      <c r="F112" s="570" t="s">
        <v>215</v>
      </c>
      <c r="G112" s="570" t="s">
        <v>262</v>
      </c>
    </row>
    <row r="113" spans="4:9">
      <c r="D113" s="571" t="s">
        <v>288</v>
      </c>
      <c r="F113" s="1">
        <v>10</v>
      </c>
      <c r="G113" s="605">
        <f>F113+G109</f>
        <v>34.5</v>
      </c>
      <c r="H113" s="612" t="s">
        <v>292</v>
      </c>
    </row>
    <row r="115" spans="4:9">
      <c r="D115" s="570" t="s">
        <v>299</v>
      </c>
    </row>
    <row r="116" spans="4:9">
      <c r="F116" s="570">
        <v>2022</v>
      </c>
      <c r="G116" s="570">
        <v>2023</v>
      </c>
      <c r="H116" s="1">
        <v>2024</v>
      </c>
      <c r="I116" s="1">
        <v>2025</v>
      </c>
    </row>
    <row r="117" spans="4:9">
      <c r="D117" s="571" t="s">
        <v>300</v>
      </c>
      <c r="G117" s="1">
        <f>DATE(G116,12,31)-DATE(F116,12,31)</f>
        <v>365</v>
      </c>
      <c r="H117" s="1">
        <f t="shared" ref="H117:I117" si="0">DATE(H116,12,31)-DATE(G116,12,31)</f>
        <v>366</v>
      </c>
      <c r="I117" s="1">
        <f t="shared" si="0"/>
        <v>365</v>
      </c>
    </row>
    <row r="120" spans="4:9">
      <c r="D120" s="571">
        <v>44926</v>
      </c>
    </row>
    <row r="123" spans="4:9">
      <c r="D123" s="1" t="s">
        <v>325</v>
      </c>
    </row>
    <row r="124" spans="4:9">
      <c r="D124" s="1" t="s">
        <v>326</v>
      </c>
    </row>
    <row r="126" spans="4:9">
      <c r="D126" s="571" t="s">
        <v>333</v>
      </c>
    </row>
    <row r="129" spans="4:4">
      <c r="D129" s="571" t="s">
        <v>334</v>
      </c>
    </row>
    <row r="130" spans="4:4">
      <c r="D130" s="571" t="s">
        <v>335</v>
      </c>
    </row>
    <row r="131" spans="4:4">
      <c r="D131" s="571" t="s">
        <v>336</v>
      </c>
    </row>
    <row r="132" spans="4:4">
      <c r="D132" s="571" t="s">
        <v>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98F3-A071-4994-A51A-B1F603378768}">
  <dimension ref="A1:M42"/>
  <sheetViews>
    <sheetView showGridLines="0" workbookViewId="0">
      <selection activeCell="Q176" sqref="Q176"/>
    </sheetView>
  </sheetViews>
  <sheetFormatPr baseColWidth="10" defaultColWidth="10.5546875" defaultRowHeight="13.2"/>
  <cols>
    <col min="1" max="1" width="4.33203125" style="305" customWidth="1"/>
    <col min="2" max="2" width="1.5546875" style="305" customWidth="1"/>
    <col min="3" max="3" width="18.5546875" style="305" customWidth="1"/>
    <col min="4" max="4" width="11.5546875" style="306" customWidth="1"/>
    <col min="5" max="5" width="1.5546875" style="306" customWidth="1"/>
    <col min="6" max="6" width="6.6640625" style="305" customWidth="1"/>
    <col min="7" max="11" width="12.6640625" style="305" customWidth="1"/>
    <col min="12" max="12" width="13.5546875" style="305" customWidth="1"/>
    <col min="13" max="13" width="10.44140625" style="305" customWidth="1"/>
    <col min="14" max="17" width="13.5546875" style="305" customWidth="1"/>
    <col min="18" max="16384" width="10.5546875" style="305"/>
  </cols>
  <sheetData>
    <row r="1" spans="1:11" s="303" customFormat="1" ht="22.65" customHeight="1">
      <c r="B1" s="307" t="str">
        <f>Assumptions!B1</f>
        <v>Blu Containers Company</v>
      </c>
      <c r="C1" s="308"/>
      <c r="D1" s="308"/>
      <c r="E1" s="308"/>
      <c r="F1" s="308"/>
      <c r="G1" s="308"/>
      <c r="H1" s="308"/>
      <c r="I1" s="308"/>
      <c r="J1" s="308"/>
      <c r="K1" s="308"/>
    </row>
    <row r="2" spans="1:11" ht="17.399999999999999">
      <c r="B2" s="309" t="s">
        <v>81</v>
      </c>
      <c r="C2" s="309"/>
      <c r="D2" s="309"/>
      <c r="E2" s="309"/>
      <c r="F2" s="309"/>
      <c r="G2" s="309"/>
      <c r="H2" s="309"/>
      <c r="I2" s="309"/>
      <c r="J2" s="309"/>
      <c r="K2" s="309"/>
    </row>
    <row r="3" spans="1:11" ht="3" customHeight="1" thickBot="1">
      <c r="B3" s="310"/>
      <c r="C3" s="310"/>
      <c r="D3" s="311"/>
      <c r="E3" s="311"/>
      <c r="F3" s="310"/>
      <c r="G3" s="310"/>
      <c r="H3" s="310"/>
      <c r="I3" s="310"/>
      <c r="J3" s="310"/>
      <c r="K3" s="310"/>
    </row>
    <row r="4" spans="1:11" ht="12.75" customHeight="1">
      <c r="C4" s="312"/>
      <c r="D4" s="313"/>
      <c r="E4" s="313"/>
      <c r="F4" s="312"/>
    </row>
    <row r="5" spans="1:11" ht="6" customHeight="1">
      <c r="B5" s="314"/>
      <c r="C5" s="315"/>
      <c r="D5" s="316"/>
      <c r="E5" s="338"/>
      <c r="G5" s="339"/>
      <c r="H5" s="339"/>
      <c r="I5" s="339"/>
      <c r="J5" s="339"/>
      <c r="K5" s="339"/>
    </row>
    <row r="6" spans="1:11" ht="16.2" customHeight="1">
      <c r="B6" s="317" t="s">
        <v>82</v>
      </c>
      <c r="C6" s="318"/>
      <c r="D6" s="319">
        <v>2</v>
      </c>
      <c r="E6" s="340"/>
      <c r="F6" s="318"/>
      <c r="G6" s="341">
        <f>Assumptions!G8</f>
        <v>2023</v>
      </c>
      <c r="H6" s="341">
        <f>G6+1</f>
        <v>2024</v>
      </c>
      <c r="I6" s="341">
        <f>H6+1</f>
        <v>2025</v>
      </c>
      <c r="J6" s="341">
        <f>I6+1</f>
        <v>2026</v>
      </c>
      <c r="K6" s="341">
        <f>J6+1</f>
        <v>2027</v>
      </c>
    </row>
    <row r="7" spans="1:11" ht="6" customHeight="1">
      <c r="B7" s="320"/>
      <c r="C7" s="321"/>
      <c r="D7" s="322"/>
      <c r="E7" s="342"/>
      <c r="F7" s="318"/>
      <c r="G7" s="343"/>
      <c r="H7" s="343"/>
      <c r="I7" s="343"/>
      <c r="J7" s="343"/>
      <c r="K7" s="343"/>
    </row>
    <row r="8" spans="1:11">
      <c r="B8" s="318"/>
      <c r="C8" s="318"/>
      <c r="D8" s="323"/>
      <c r="E8" s="323"/>
      <c r="F8" s="318"/>
      <c r="G8" s="343"/>
      <c r="H8" s="343"/>
      <c r="I8" s="343"/>
      <c r="J8" s="343"/>
      <c r="K8" s="343"/>
    </row>
    <row r="9" spans="1:11">
      <c r="B9" s="318"/>
      <c r="C9" s="318"/>
      <c r="D9" s="323" t="s">
        <v>33</v>
      </c>
      <c r="E9" s="323"/>
      <c r="F9" s="318"/>
      <c r="G9" s="343"/>
      <c r="H9" s="343"/>
      <c r="I9" s="343"/>
      <c r="J9" s="343"/>
      <c r="K9" s="343"/>
    </row>
    <row r="10" spans="1:11" ht="15.6">
      <c r="A10" s="324"/>
      <c r="B10" s="325" t="s">
        <v>83</v>
      </c>
    </row>
    <row r="11" spans="1:11" ht="12.75" customHeight="1"/>
    <row r="12" spans="1:11" ht="16.2" customHeight="1">
      <c r="B12" s="326" t="s">
        <v>84</v>
      </c>
      <c r="D12" s="327" t="s">
        <v>85</v>
      </c>
      <c r="E12" s="327"/>
      <c r="G12" s="344">
        <f>CHOOSE($D$6,G14,G15,G16)</f>
        <v>1.7999999999999999E-2</v>
      </c>
      <c r="H12" s="345">
        <f>CHOOSE(MATCH($D$9,$C$14:$C$16,0),H14,H15,H16)</f>
        <v>0.02</v>
      </c>
      <c r="I12" s="345">
        <f>INDEX(I14:I16,$D$6)</f>
        <v>1.7999999999999999E-2</v>
      </c>
      <c r="J12" s="345">
        <f>INDEX(J14:J16,$D$6)</f>
        <v>0.02</v>
      </c>
      <c r="K12" s="367">
        <f>INDEX(K14:K16,$D$6)</f>
        <v>0.02</v>
      </c>
    </row>
    <row r="13" spans="1:11" ht="4.3499999999999996" customHeight="1">
      <c r="B13" s="328"/>
      <c r="D13" s="327"/>
      <c r="E13" s="327"/>
      <c r="G13" s="166"/>
      <c r="H13" s="71"/>
      <c r="I13" s="71"/>
      <c r="J13" s="71"/>
      <c r="K13" s="71"/>
    </row>
    <row r="14" spans="1:11">
      <c r="B14" s="328"/>
      <c r="C14" s="305" t="str">
        <f>Assumptions!C18</f>
        <v>Base Case</v>
      </c>
      <c r="D14" s="327" t="s">
        <v>86</v>
      </c>
      <c r="E14" s="327"/>
      <c r="G14" s="346">
        <v>0.02</v>
      </c>
      <c r="H14" s="347">
        <v>0.02</v>
      </c>
      <c r="I14" s="347">
        <v>0.02</v>
      </c>
      <c r="J14" s="347">
        <v>2.5000000000000001E-2</v>
      </c>
      <c r="K14" s="368">
        <v>2.5000000000000001E-2</v>
      </c>
    </row>
    <row r="15" spans="1:11">
      <c r="B15" s="328"/>
      <c r="C15" s="305" t="str">
        <f>Assumptions!C19</f>
        <v>Best Case</v>
      </c>
      <c r="D15" s="327" t="s">
        <v>87</v>
      </c>
      <c r="E15" s="327"/>
      <c r="G15" s="348">
        <v>1.7999999999999999E-2</v>
      </c>
      <c r="H15" s="349">
        <v>1.7999999999999999E-2</v>
      </c>
      <c r="I15" s="349">
        <v>1.7999999999999999E-2</v>
      </c>
      <c r="J15" s="349">
        <v>0.02</v>
      </c>
      <c r="K15" s="369">
        <v>0.02</v>
      </c>
    </row>
    <row r="16" spans="1:11">
      <c r="B16" s="328"/>
      <c r="C16" s="305" t="str">
        <f>Assumptions!C20</f>
        <v>Worst Case</v>
      </c>
      <c r="D16" s="327" t="s">
        <v>88</v>
      </c>
      <c r="E16" s="327"/>
      <c r="G16" s="350">
        <v>2.5000000000000001E-2</v>
      </c>
      <c r="H16" s="351">
        <v>2.5000000000000001E-2</v>
      </c>
      <c r="I16" s="351">
        <v>2.5000000000000001E-2</v>
      </c>
      <c r="J16" s="351">
        <v>2.5000000000000001E-2</v>
      </c>
      <c r="K16" s="370">
        <v>2.5000000000000001E-2</v>
      </c>
    </row>
    <row r="17" spans="1:13">
      <c r="C17" s="329"/>
      <c r="D17" s="330"/>
      <c r="E17" s="330"/>
      <c r="G17" s="352"/>
      <c r="H17" s="352"/>
      <c r="I17" s="352"/>
      <c r="J17" s="352"/>
      <c r="K17" s="371"/>
    </row>
    <row r="18" spans="1:13">
      <c r="B18" s="331"/>
      <c r="C18" s="331"/>
      <c r="D18" s="332"/>
      <c r="E18" s="332"/>
      <c r="F18" s="331"/>
      <c r="G18" s="331"/>
      <c r="H18" s="331"/>
      <c r="I18" s="331"/>
      <c r="J18" s="331"/>
      <c r="K18" s="331"/>
    </row>
    <row r="20" spans="1:13" ht="12.75" customHeight="1"/>
    <row r="21" spans="1:13" ht="12.75" customHeight="1">
      <c r="B21" s="325" t="s">
        <v>89</v>
      </c>
    </row>
    <row r="22" spans="1:13" ht="12.75" customHeight="1"/>
    <row r="23" spans="1:13" s="304" customFormat="1" ht="16.2" customHeight="1">
      <c r="B23" s="326" t="s">
        <v>90</v>
      </c>
      <c r="D23" s="333">
        <v>1</v>
      </c>
      <c r="E23" s="333"/>
      <c r="G23" s="353">
        <f>CHOOSE($D$23,G25,G26,G27)</f>
        <v>800</v>
      </c>
      <c r="H23" s="354">
        <f>CHOOSE($D$23,H25,H26,H27)</f>
        <v>725</v>
      </c>
      <c r="I23" s="354">
        <f>CHOOSE($D$23,I25,I26,I27)</f>
        <v>825</v>
      </c>
      <c r="J23" s="354">
        <f>CHOOSE($D$23,J25,J26,J27)</f>
        <v>800</v>
      </c>
      <c r="K23" s="372">
        <f>CHOOSE($D$23,K25,K26,K27)</f>
        <v>750</v>
      </c>
    </row>
    <row r="24" spans="1:13" ht="4.3499999999999996" customHeight="1">
      <c r="B24" s="328"/>
      <c r="D24" s="327"/>
      <c r="E24" s="327"/>
      <c r="G24" s="355"/>
      <c r="H24" s="355"/>
      <c r="I24" s="355"/>
      <c r="J24" s="355"/>
      <c r="K24" s="355"/>
    </row>
    <row r="25" spans="1:13">
      <c r="C25" s="329" t="str">
        <f>C14</f>
        <v>Base Case</v>
      </c>
      <c r="D25" s="330"/>
      <c r="E25" s="330"/>
      <c r="G25" s="356">
        <v>800</v>
      </c>
      <c r="H25" s="357">
        <v>725</v>
      </c>
      <c r="I25" s="357">
        <v>825</v>
      </c>
      <c r="J25" s="357">
        <v>800</v>
      </c>
      <c r="K25" s="373">
        <v>750</v>
      </c>
      <c r="L25" s="374"/>
      <c r="M25" s="366"/>
    </row>
    <row r="26" spans="1:13">
      <c r="A26" s="334">
        <f>Assumptions!F19</f>
        <v>0.04</v>
      </c>
      <c r="C26" s="335"/>
      <c r="D26" s="330"/>
      <c r="E26" s="330"/>
      <c r="G26" s="358">
        <f>G25*(1+$A26)</f>
        <v>832</v>
      </c>
      <c r="H26" s="358">
        <f>H25*(1+$A26)</f>
        <v>754</v>
      </c>
      <c r="I26" s="358">
        <f>I25*(1+$A26)</f>
        <v>858</v>
      </c>
      <c r="J26" s="358">
        <f>J25*(1+$A26)</f>
        <v>832</v>
      </c>
      <c r="K26" s="358">
        <f>K25*(1+$A26)</f>
        <v>780</v>
      </c>
      <c r="L26" s="374"/>
      <c r="M26" s="366"/>
    </row>
    <row r="27" spans="1:13">
      <c r="A27" s="334">
        <f>Assumptions!F20</f>
        <v>-0.04</v>
      </c>
      <c r="C27" s="335"/>
      <c r="D27" s="330"/>
      <c r="E27" s="330"/>
      <c r="G27" s="358">
        <f>G25*(1+$A27)</f>
        <v>768</v>
      </c>
      <c r="H27" s="358">
        <f>H25*(1+$A27)</f>
        <v>696</v>
      </c>
      <c r="I27" s="358">
        <f>I25*(1+$A27)</f>
        <v>792</v>
      </c>
      <c r="J27" s="358">
        <f>J25*(1+$A27)</f>
        <v>768</v>
      </c>
      <c r="K27" s="358">
        <f>K25*(1+$A27)</f>
        <v>720</v>
      </c>
      <c r="L27" s="374"/>
      <c r="M27" s="366"/>
    </row>
    <row r="28" spans="1:13">
      <c r="C28" s="329"/>
      <c r="D28" s="330"/>
      <c r="E28" s="330"/>
      <c r="G28" s="251"/>
      <c r="H28" s="251"/>
      <c r="I28" s="251"/>
      <c r="J28" s="251"/>
      <c r="K28" s="375"/>
      <c r="L28" s="374"/>
    </row>
    <row r="29" spans="1:13">
      <c r="C29" s="329"/>
      <c r="D29" s="330"/>
      <c r="E29" s="330"/>
      <c r="G29" s="251"/>
      <c r="H29" s="251"/>
      <c r="I29" s="251"/>
      <c r="J29" s="251"/>
      <c r="K29" s="375"/>
      <c r="L29" s="374"/>
    </row>
    <row r="30" spans="1:13" ht="16.2" customHeight="1">
      <c r="B30" s="326" t="s">
        <v>91</v>
      </c>
      <c r="D30" s="327">
        <v>1</v>
      </c>
      <c r="E30" s="327"/>
      <c r="G30" s="344">
        <f>CHOOSE($D$30,G32,G33,G34)</f>
        <v>0.05</v>
      </c>
      <c r="H30" s="345">
        <f>CHOOSE($D$30,H32,H33,H34)</f>
        <v>0.04</v>
      </c>
      <c r="I30" s="345">
        <f>CHOOSE($D$30,I32,I33,I34)</f>
        <v>0.04</v>
      </c>
      <c r="J30" s="345">
        <f>CHOOSE($D$30,J32,J33,J34)</f>
        <v>0.04</v>
      </c>
      <c r="K30" s="367">
        <f>CHOOSE($D$30,K32,K33,K34)</f>
        <v>0.04</v>
      </c>
    </row>
    <row r="31" spans="1:13" ht="4.3499999999999996" customHeight="1">
      <c r="B31" s="328"/>
      <c r="D31" s="327"/>
      <c r="E31" s="327"/>
      <c r="G31" s="166"/>
      <c r="H31" s="71"/>
      <c r="I31" s="71"/>
      <c r="J31" s="71"/>
      <c r="K31" s="71"/>
    </row>
    <row r="32" spans="1:13">
      <c r="B32" s="328"/>
      <c r="C32" s="305" t="str">
        <f>C14</f>
        <v>Base Case</v>
      </c>
      <c r="D32" s="327"/>
      <c r="E32" s="327"/>
      <c r="G32" s="359">
        <v>0.05</v>
      </c>
      <c r="H32" s="360">
        <v>0.04</v>
      </c>
      <c r="I32" s="360">
        <v>0.04</v>
      </c>
      <c r="J32" s="360">
        <v>0.04</v>
      </c>
      <c r="K32" s="376">
        <v>0.04</v>
      </c>
    </row>
    <row r="33" spans="2:12">
      <c r="B33" s="328"/>
      <c r="C33" s="305" t="str">
        <f>C15</f>
        <v>Best Case</v>
      </c>
      <c r="D33" s="327"/>
      <c r="E33" s="327"/>
      <c r="G33" s="361">
        <v>0.05</v>
      </c>
      <c r="H33" s="362">
        <v>0.04</v>
      </c>
      <c r="I33" s="362">
        <v>0.05</v>
      </c>
      <c r="J33" s="362">
        <v>0.05</v>
      </c>
      <c r="K33" s="377">
        <v>0.04</v>
      </c>
    </row>
    <row r="34" spans="2:12">
      <c r="B34" s="328"/>
      <c r="C34" s="305" t="str">
        <f>C16</f>
        <v>Worst Case</v>
      </c>
      <c r="D34" s="327"/>
      <c r="E34" s="327"/>
      <c r="G34" s="363">
        <v>0.04</v>
      </c>
      <c r="H34" s="364">
        <v>0.04</v>
      </c>
      <c r="I34" s="364">
        <v>0.03</v>
      </c>
      <c r="J34" s="364">
        <v>0.03</v>
      </c>
      <c r="K34" s="378">
        <v>0.02</v>
      </c>
    </row>
    <row r="35" spans="2:12">
      <c r="C35" s="329"/>
      <c r="D35" s="330"/>
      <c r="E35" s="330"/>
      <c r="G35" s="251"/>
      <c r="H35" s="251"/>
      <c r="I35" s="251"/>
      <c r="J35" s="251"/>
      <c r="K35" s="375"/>
      <c r="L35" s="374"/>
    </row>
    <row r="36" spans="2:12">
      <c r="B36" s="336"/>
      <c r="C36" s="336"/>
      <c r="D36" s="337"/>
      <c r="E36" s="337"/>
      <c r="F36" s="336"/>
      <c r="G36" s="336"/>
      <c r="H36" s="336"/>
      <c r="I36" s="336"/>
      <c r="J36" s="336"/>
      <c r="K36" s="336"/>
    </row>
    <row r="39" spans="2:12">
      <c r="C39" s="318"/>
      <c r="D39" s="327"/>
      <c r="E39" s="327"/>
      <c r="G39" s="365"/>
    </row>
    <row r="40" spans="2:12">
      <c r="D40" s="330"/>
      <c r="E40" s="330"/>
      <c r="H40" s="366"/>
    </row>
    <row r="41" spans="2:12">
      <c r="D41" s="330"/>
      <c r="E41" s="330"/>
    </row>
    <row r="42" spans="2:12">
      <c r="G42" s="365"/>
    </row>
  </sheetData>
  <sheetProtection formatCells="0" formatColumns="0" formatRows="0" insertColumns="0" insertRows="0"/>
  <conditionalFormatting sqref="J348:M352">
    <cfRule type="cellIs" dxfId="0" priority="1" stopIfTrue="1" operator="greaterThan">
      <formula>330</formula>
    </cfRule>
  </conditionalFormatting>
  <dataValidations count="1">
    <dataValidation type="list" allowBlank="1" showInputMessage="1" showErrorMessage="1" sqref="M6 D9" xr:uid="{EB4640D4-654E-4E14-95BA-5E309C6AF90E}">
      <formula1>$C$14:$C$16</formula1>
    </dataValidation>
  </dataValidations>
  <printOptions horizontalCentered="1"/>
  <pageMargins left="0.25" right="0.25" top="0.33500000000000002" bottom="0.5" header="0.25" footer="0.25"/>
  <pageSetup scale="95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3" name="Drop Down 1">
              <controlPr defaultSize="0" autoLine="0" autoPict="0">
                <anchor moveWithCells="1">
                  <from>
                    <xdr:col>2</xdr:col>
                    <xdr:colOff>1226820</xdr:colOff>
                    <xdr:row>4</xdr:row>
                    <xdr:rowOff>60960</xdr:rowOff>
                  </from>
                  <to>
                    <xdr:col>5</xdr:col>
                    <xdr:colOff>259080</xdr:colOff>
                    <xdr:row>6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llowEditUser xmlns="https://web.wps.cn/et/2018/main" xmlns:s="http://schemas.openxmlformats.org/spreadsheetml/2006/main" hasInvisiblePropRange="0">
  <rangeList sheetStid="22" master="" otherUserPermission="visible"/>
  <rangeList sheetStid="21" master="" otherUserPermission="visible"/>
  <rangeList sheetStid="2" master="" otherUserPermission="visible"/>
  <rangeList sheetStid="7" master="" otherUserPermission="visible"/>
  <rangeList sheetStid="6" master="" otherUserPermission="visible"/>
  <rangeList sheetStid="23" master="" otherUserPermission="visible"/>
</allowEditUser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39E450A-0AD5-4057-8FCE-28839633CB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6</vt:i4>
      </vt:variant>
    </vt:vector>
  </HeadingPairs>
  <TitlesOfParts>
    <vt:vector size="14" baseType="lpstr">
      <vt:lpstr>Cover</vt:lpstr>
      <vt:lpstr>Summary</vt:lpstr>
      <vt:lpstr>Assumptions</vt:lpstr>
      <vt:lpstr>Scenarios</vt:lpstr>
      <vt:lpstr>Model</vt:lpstr>
      <vt:lpstr>Model (2)</vt:lpstr>
      <vt:lpstr>Sheet1</vt:lpstr>
      <vt:lpstr>Scenarios (2)</vt:lpstr>
      <vt:lpstr>Assumptions!Zone_d_impression</vt:lpstr>
      <vt:lpstr>Cover!Zone_d_impression</vt:lpstr>
      <vt:lpstr>Model!Zone_d_impression</vt:lpstr>
      <vt:lpstr>Scenarios!Zone_d_impression</vt:lpstr>
      <vt:lpstr>'Scenarios (2)'!Zone_d_impression</vt:lpstr>
      <vt:lpstr>Summary!Zone_d_impression</vt:lpstr>
    </vt:vector>
  </TitlesOfParts>
  <Company>Financial Modeling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Yasmine Ben Moussa</cp:lastModifiedBy>
  <cp:lastPrinted>2025-10-04T11:22:29Z</cp:lastPrinted>
  <dcterms:created xsi:type="dcterms:W3CDTF">2018-03-28T19:44:00Z</dcterms:created>
  <dcterms:modified xsi:type="dcterms:W3CDTF">2026-07-12T21:06:56Z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  <property fmtid="{D5CDD505-2E9C-101B-9397-08002B2CF9AE}" pid="3" name="KSOProductBuildVer">
    <vt:lpwstr>1033-12.1.22531.22531</vt:lpwstr>
  </property>
  <property fmtid="{D5CDD505-2E9C-101B-9397-08002B2CF9AE}" pid="4" name="ICV">
    <vt:lpwstr>BEE2C225CF2E27F82097BD6890CC240A_42</vt:lpwstr>
  </property>
</Properties>
</file>